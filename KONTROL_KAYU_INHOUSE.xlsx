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02 OPERATION\01 PRODUCTION\INHOUSE PRODUCTION\2026\02 ANALYSIS\WOOD\"/>
    </mc:Choice>
  </mc:AlternateContent>
  <xr:revisionPtr revIDLastSave="0" documentId="13_ncr:1_{0813E24A-F96E-4061-88F0-33AF2BAB812A}" xr6:coauthVersionLast="47" xr6:coauthVersionMax="47" xr10:uidLastSave="{00000000-0000-0000-0000-000000000000}"/>
  <bookViews>
    <workbookView xWindow="-120" yWindow="-120" windowWidth="20730" windowHeight="11040" firstSheet="1" activeTab="1" xr2:uid="{00000000-000D-0000-FFFF-FFFF00000000}"/>
  </bookViews>
  <sheets>
    <sheet name="SUMMARY" sheetId="1" r:id="rId1"/>
    <sheet name="STOK" sheetId="2" r:id="rId2"/>
    <sheet name="REKON" sheetId="3" r:id="rId3"/>
    <sheet name="IN" sheetId="4" r:id="rId4"/>
    <sheet name="INCOMING" sheetId="5" r:id="rId5"/>
    <sheet name="POTENTIAL IN" sheetId="6" r:id="rId6"/>
    <sheet name="OUT" sheetId="7" r:id="rId7"/>
    <sheet name="OUT Since Sep" sheetId="8" state="hidden" r:id="rId8"/>
    <sheet name="SAMPLE" sheetId="9" r:id="rId9"/>
    <sheet name="OPNAME LOG" sheetId="10" r:id="rId10"/>
    <sheet name="LAPORAN OPERATION" sheetId="11" r:id="rId11"/>
    <sheet name="REALDATA" sheetId="12" r:id="rId12"/>
    <sheet name="Sch" sheetId="13" r:id="rId13"/>
    <sheet name="Back Rest" sheetId="14" r:id="rId14"/>
  </sheets>
  <definedNames>
    <definedName name="_xlnm.Print_Area" localSheetId="1">STOK!$A$1:$M$32</definedName>
    <definedName name="_xlnm.Print_Area" localSheetId="0">SUMMARY!$B$1:$G$53</definedName>
  </definedNames>
  <calcPr fullCalcOnLoad="1"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3" l="1"/>
  <c r="G6" i="13"/>
  <c r="J5" i="13"/>
  <c r="G5" i="13"/>
  <c r="AK199" i="12"/>
  <c r="AE199" i="12"/>
  <c r="AD199" i="12"/>
  <c r="AC199" i="12"/>
  <c r="AB199" i="12"/>
  <c r="AA199" i="12"/>
  <c r="Z199" i="12"/>
  <c r="Y199" i="12"/>
  <c r="X199" i="12"/>
  <c r="W199" i="12"/>
  <c r="U199" i="12"/>
  <c r="AK198" i="12"/>
  <c r="AE198" i="12"/>
  <c r="AD198" i="12"/>
  <c r="AC198" i="12"/>
  <c r="AB198" i="12"/>
  <c r="AA198" i="12"/>
  <c r="Z198" i="12"/>
  <c r="Y198" i="12"/>
  <c r="X198" i="12"/>
  <c r="W198" i="12"/>
  <c r="U198" i="12"/>
  <c r="AK197" i="12"/>
  <c r="AE197" i="12"/>
  <c r="AD197" i="12"/>
  <c r="AC197" i="12"/>
  <c r="AB197" i="12"/>
  <c r="AA197" i="12"/>
  <c r="Z197" i="12"/>
  <c r="Y197" i="12"/>
  <c r="X197" i="12"/>
  <c r="W197" i="12"/>
  <c r="U197" i="12"/>
  <c r="AK196" i="12"/>
  <c r="AE196" i="12"/>
  <c r="AD196" i="12"/>
  <c r="AC196" i="12"/>
  <c r="AB196" i="12"/>
  <c r="AA196" i="12"/>
  <c r="Z196" i="12"/>
  <c r="Y196" i="12"/>
  <c r="X196" i="12"/>
  <c r="W196" i="12"/>
  <c r="U196" i="12"/>
  <c r="AK195" i="12"/>
  <c r="AE195" i="12"/>
  <c r="AD195" i="12"/>
  <c r="AC195" i="12"/>
  <c r="AB195" i="12"/>
  <c r="AA195" i="12"/>
  <c r="Z195" i="12"/>
  <c r="Y195" i="12"/>
  <c r="X195" i="12"/>
  <c r="W195" i="12"/>
  <c r="U195" i="12"/>
  <c r="AK194" i="12"/>
  <c r="AE194" i="12"/>
  <c r="AD194" i="12"/>
  <c r="AC194" i="12"/>
  <c r="AB194" i="12"/>
  <c r="AA194" i="12"/>
  <c r="Z194" i="12"/>
  <c r="Y194" i="12"/>
  <c r="X194" i="12"/>
  <c r="W194" i="12"/>
  <c r="U194" i="12"/>
  <c r="AK193" i="12"/>
  <c r="AE193" i="12"/>
  <c r="AD193" i="12"/>
  <c r="AC193" i="12"/>
  <c r="AB193" i="12"/>
  <c r="AA193" i="12"/>
  <c r="Z193" i="12"/>
  <c r="Y193" i="12"/>
  <c r="X193" i="12"/>
  <c r="W193" i="12"/>
  <c r="U193" i="12"/>
  <c r="AK192" i="12"/>
  <c r="AE192" i="12"/>
  <c r="AD192" i="12"/>
  <c r="AC192" i="12"/>
  <c r="AB192" i="12"/>
  <c r="AA192" i="12"/>
  <c r="Z192" i="12"/>
  <c r="Y192" i="12"/>
  <c r="X192" i="12"/>
  <c r="W192" i="12"/>
  <c r="U192" i="12"/>
  <c r="AK191" i="12"/>
  <c r="AE191" i="12"/>
  <c r="AD191" i="12"/>
  <c r="AC191" i="12"/>
  <c r="AB191" i="12"/>
  <c r="AA191" i="12"/>
  <c r="Z191" i="12"/>
  <c r="Y191" i="12"/>
  <c r="X191" i="12"/>
  <c r="W191" i="12"/>
  <c r="U191" i="12"/>
  <c r="AK190" i="12"/>
  <c r="AE190" i="12"/>
  <c r="AD190" i="12"/>
  <c r="AC190" i="12"/>
  <c r="AB190" i="12"/>
  <c r="AA190" i="12"/>
  <c r="Z190" i="12"/>
  <c r="Y190" i="12"/>
  <c r="X190" i="12"/>
  <c r="W190" i="12"/>
  <c r="U190" i="12"/>
  <c r="AK189" i="12"/>
  <c r="AE189" i="12"/>
  <c r="AD189" i="12"/>
  <c r="AC189" i="12"/>
  <c r="AB189" i="12"/>
  <c r="AA189" i="12"/>
  <c r="Z189" i="12"/>
  <c r="Y189" i="12"/>
  <c r="X189" i="12"/>
  <c r="W189" i="12"/>
  <c r="U189" i="12"/>
  <c r="AK188" i="12"/>
  <c r="AE188" i="12"/>
  <c r="AD188" i="12"/>
  <c r="AC188" i="12"/>
  <c r="AB188" i="12"/>
  <c r="AA188" i="12"/>
  <c r="Z188" i="12"/>
  <c r="Y188" i="12"/>
  <c r="X188" i="12"/>
  <c r="W188" i="12"/>
  <c r="U188" i="12"/>
  <c r="AK187" i="12"/>
  <c r="AE187" i="12"/>
  <c r="AD187" i="12"/>
  <c r="AC187" i="12"/>
  <c r="AB187" i="12"/>
  <c r="AA187" i="12"/>
  <c r="Z187" i="12"/>
  <c r="Y187" i="12"/>
  <c r="X187" i="12"/>
  <c r="W187" i="12"/>
  <c r="U187" i="12"/>
  <c r="AK186" i="12"/>
  <c r="AE186" i="12"/>
  <c r="AD186" i="12"/>
  <c r="AC186" i="12"/>
  <c r="AB186" i="12"/>
  <c r="AA186" i="12"/>
  <c r="Z186" i="12"/>
  <c r="Y186" i="12"/>
  <c r="X186" i="12"/>
  <c r="W186" i="12"/>
  <c r="U186" i="12"/>
  <c r="AK185" i="12"/>
  <c r="AE185" i="12"/>
  <c r="AD185" i="12"/>
  <c r="AC185" i="12"/>
  <c r="AB185" i="12"/>
  <c r="AA185" i="12"/>
  <c r="Z185" i="12"/>
  <c r="Y185" i="12"/>
  <c r="X185" i="12"/>
  <c r="W185" i="12"/>
  <c r="U185" i="12"/>
  <c r="AK184" i="12"/>
  <c r="AE184" i="12"/>
  <c r="AD184" i="12"/>
  <c r="AC184" i="12"/>
  <c r="AB184" i="12"/>
  <c r="AA184" i="12"/>
  <c r="Z184" i="12"/>
  <c r="Y184" i="12"/>
  <c r="X184" i="12"/>
  <c r="W184" i="12"/>
  <c r="U184" i="12"/>
  <c r="AK183" i="12"/>
  <c r="AE183" i="12"/>
  <c r="AD183" i="12"/>
  <c r="AC183" i="12"/>
  <c r="AB183" i="12"/>
  <c r="AA183" i="12"/>
  <c r="Z183" i="12"/>
  <c r="Y183" i="12"/>
  <c r="X183" i="12"/>
  <c r="W183" i="12"/>
  <c r="U183" i="12"/>
  <c r="AK182" i="12"/>
  <c r="AE182" i="12"/>
  <c r="AD182" i="12"/>
  <c r="AC182" i="12"/>
  <c r="AB182" i="12"/>
  <c r="AA182" i="12"/>
  <c r="Z182" i="12"/>
  <c r="Y182" i="12"/>
  <c r="X182" i="12"/>
  <c r="W182" i="12"/>
  <c r="U182" i="12"/>
  <c r="AK181" i="12"/>
  <c r="AE181" i="12"/>
  <c r="AD181" i="12"/>
  <c r="AC181" i="12"/>
  <c r="AB181" i="12"/>
  <c r="AA181" i="12"/>
  <c r="Z181" i="12"/>
  <c r="Y181" i="12"/>
  <c r="X181" i="12"/>
  <c r="W181" i="12"/>
  <c r="U181" i="12"/>
  <c r="AK180" i="12"/>
  <c r="AE180" i="12"/>
  <c r="AD180" i="12"/>
  <c r="AC180" i="12"/>
  <c r="AB180" i="12"/>
  <c r="AA180" i="12"/>
  <c r="Z180" i="12"/>
  <c r="Y180" i="12"/>
  <c r="X180" i="12"/>
  <c r="W180" i="12"/>
  <c r="U180" i="12"/>
  <c r="AK179" i="12"/>
  <c r="AE179" i="12"/>
  <c r="AD179" i="12"/>
  <c r="AC179" i="12"/>
  <c r="AB179" i="12"/>
  <c r="AA179" i="12"/>
  <c r="Z179" i="12"/>
  <c r="Y179" i="12"/>
  <c r="X179" i="12"/>
  <c r="W179" i="12"/>
  <c r="U179" i="12"/>
  <c r="AK178" i="12"/>
  <c r="AE178" i="12"/>
  <c r="AD178" i="12"/>
  <c r="AC178" i="12"/>
  <c r="AB178" i="12"/>
  <c r="AA178" i="12"/>
  <c r="Z178" i="12"/>
  <c r="Y178" i="12"/>
  <c r="X178" i="12"/>
  <c r="W178" i="12"/>
  <c r="U178" i="12"/>
  <c r="AK177" i="12"/>
  <c r="AE177" i="12"/>
  <c r="AD177" i="12"/>
  <c r="AC177" i="12"/>
  <c r="AB177" i="12"/>
  <c r="AA177" i="12"/>
  <c r="Z177" i="12"/>
  <c r="Y177" i="12"/>
  <c r="X177" i="12"/>
  <c r="W177" i="12"/>
  <c r="U177" i="12"/>
  <c r="AK176" i="12"/>
  <c r="AE176" i="12"/>
  <c r="AD176" i="12"/>
  <c r="AC176" i="12"/>
  <c r="AB176" i="12"/>
  <c r="AA176" i="12"/>
  <c r="Z176" i="12"/>
  <c r="Y176" i="12"/>
  <c r="X176" i="12"/>
  <c r="W176" i="12"/>
  <c r="U176" i="12"/>
  <c r="AK175" i="12"/>
  <c r="AE175" i="12"/>
  <c r="AD175" i="12"/>
  <c r="AC175" i="12"/>
  <c r="AB175" i="12"/>
  <c r="AA175" i="12"/>
  <c r="Z175" i="12"/>
  <c r="Y175" i="12"/>
  <c r="X175" i="12"/>
  <c r="W175" i="12"/>
  <c r="U175" i="12"/>
  <c r="AK174" i="12"/>
  <c r="AE174" i="12"/>
  <c r="AD174" i="12"/>
  <c r="AC174" i="12"/>
  <c r="AB174" i="12"/>
  <c r="AA174" i="12"/>
  <c r="Z174" i="12"/>
  <c r="Y174" i="12"/>
  <c r="X174" i="12"/>
  <c r="W174" i="12"/>
  <c r="U174" i="12"/>
  <c r="AK173" i="12"/>
  <c r="AE173" i="12"/>
  <c r="AD173" i="12"/>
  <c r="AC173" i="12"/>
  <c r="AB173" i="12"/>
  <c r="AA173" i="12"/>
  <c r="Z173" i="12"/>
  <c r="Y173" i="12"/>
  <c r="X173" i="12"/>
  <c r="W173" i="12"/>
  <c r="U173" i="12"/>
  <c r="AK172" i="12"/>
  <c r="AE172" i="12"/>
  <c r="AD172" i="12"/>
  <c r="AC172" i="12"/>
  <c r="AB172" i="12"/>
  <c r="AA172" i="12"/>
  <c r="Z172" i="12"/>
  <c r="Y172" i="12"/>
  <c r="X172" i="12"/>
  <c r="W172" i="12"/>
  <c r="U172" i="12"/>
  <c r="AK171" i="12"/>
  <c r="AE171" i="12"/>
  <c r="AD171" i="12"/>
  <c r="AC171" i="12"/>
  <c r="AB171" i="12"/>
  <c r="AA171" i="12"/>
  <c r="Z171" i="12"/>
  <c r="Y171" i="12"/>
  <c r="X171" i="12"/>
  <c r="W171" i="12"/>
  <c r="U171" i="12"/>
  <c r="AK170" i="12"/>
  <c r="AE170" i="12"/>
  <c r="AD170" i="12"/>
  <c r="AC170" i="12"/>
  <c r="AB170" i="12"/>
  <c r="AA170" i="12"/>
  <c r="Z170" i="12"/>
  <c r="Y170" i="12"/>
  <c r="X170" i="12"/>
  <c r="W170" i="12"/>
  <c r="U170" i="12"/>
  <c r="AK169" i="12"/>
  <c r="AE169" i="12"/>
  <c r="AD169" i="12"/>
  <c r="AC169" i="12"/>
  <c r="AB169" i="12"/>
  <c r="AA169" i="12"/>
  <c r="Z169" i="12"/>
  <c r="Y169" i="12"/>
  <c r="X169" i="12"/>
  <c r="W169" i="12"/>
  <c r="U169" i="12"/>
  <c r="AK168" i="12"/>
  <c r="AE168" i="12"/>
  <c r="AD168" i="12"/>
  <c r="AC168" i="12"/>
  <c r="AB168" i="12"/>
  <c r="AA168" i="12"/>
  <c r="Z168" i="12"/>
  <c r="Y168" i="12"/>
  <c r="X168" i="12"/>
  <c r="W168" i="12"/>
  <c r="U168" i="12"/>
  <c r="AK167" i="12"/>
  <c r="AE167" i="12"/>
  <c r="AD167" i="12"/>
  <c r="AC167" i="12"/>
  <c r="AB167" i="12"/>
  <c r="AA167" i="12"/>
  <c r="Z167" i="12"/>
  <c r="Y167" i="12"/>
  <c r="X167" i="12"/>
  <c r="W167" i="12"/>
  <c r="U167" i="12"/>
  <c r="AK166" i="12"/>
  <c r="AE166" i="12"/>
  <c r="AD166" i="12"/>
  <c r="AC166" i="12"/>
  <c r="AB166" i="12"/>
  <c r="AA166" i="12"/>
  <c r="Z166" i="12"/>
  <c r="Y166" i="12"/>
  <c r="X166" i="12"/>
  <c r="W166" i="12"/>
  <c r="U166" i="12"/>
  <c r="AK165" i="12"/>
  <c r="AE165" i="12"/>
  <c r="AD165" i="12"/>
  <c r="AC165" i="12"/>
  <c r="AB165" i="12"/>
  <c r="AA165" i="12"/>
  <c r="Z165" i="12"/>
  <c r="Y165" i="12"/>
  <c r="X165" i="12"/>
  <c r="W165" i="12"/>
  <c r="U165" i="12"/>
  <c r="AK164" i="12"/>
  <c r="AE164" i="12"/>
  <c r="AD164" i="12"/>
  <c r="AC164" i="12"/>
  <c r="AB164" i="12"/>
  <c r="AA164" i="12"/>
  <c r="Z164" i="12"/>
  <c r="Y164" i="12"/>
  <c r="X164" i="12"/>
  <c r="W164" i="12"/>
  <c r="U164" i="12"/>
  <c r="AK163" i="12"/>
  <c r="AE163" i="12"/>
  <c r="AD163" i="12"/>
  <c r="AC163" i="12"/>
  <c r="AB163" i="12"/>
  <c r="AA163" i="12"/>
  <c r="Z163" i="12"/>
  <c r="Y163" i="12"/>
  <c r="X163" i="12"/>
  <c r="W163" i="12"/>
  <c r="U163" i="12"/>
  <c r="AK162" i="12"/>
  <c r="AE162" i="12"/>
  <c r="AD162" i="12"/>
  <c r="AC162" i="12"/>
  <c r="AB162" i="12"/>
  <c r="AA162" i="12"/>
  <c r="Z162" i="12"/>
  <c r="Y162" i="12"/>
  <c r="X162" i="12"/>
  <c r="W162" i="12"/>
  <c r="U162" i="12"/>
  <c r="AK161" i="12"/>
  <c r="AE161" i="12"/>
  <c r="AD161" i="12"/>
  <c r="AC161" i="12"/>
  <c r="AB161" i="12"/>
  <c r="AA161" i="12"/>
  <c r="Z161" i="12"/>
  <c r="Y161" i="12"/>
  <c r="X161" i="12"/>
  <c r="W161" i="12"/>
  <c r="U161" i="12"/>
  <c r="AK160" i="12"/>
  <c r="AE160" i="12"/>
  <c r="AD160" i="12"/>
  <c r="AC160" i="12"/>
  <c r="AB160" i="12"/>
  <c r="AA160" i="12"/>
  <c r="Z160" i="12"/>
  <c r="Y160" i="12"/>
  <c r="X160" i="12"/>
  <c r="W160" i="12"/>
  <c r="U160" i="12"/>
  <c r="AK159" i="12"/>
  <c r="AE159" i="12"/>
  <c r="AD159" i="12"/>
  <c r="AC159" i="12"/>
  <c r="AB159" i="12"/>
  <c r="AA159" i="12"/>
  <c r="Z159" i="12"/>
  <c r="Y159" i="12"/>
  <c r="X159" i="12"/>
  <c r="W159" i="12"/>
  <c r="U159" i="12"/>
  <c r="AK158" i="12"/>
  <c r="AE158" i="12"/>
  <c r="AD158" i="12"/>
  <c r="AC158" i="12"/>
  <c r="AB158" i="12"/>
  <c r="AA158" i="12"/>
  <c r="Z158" i="12"/>
  <c r="Y158" i="12"/>
  <c r="X158" i="12"/>
  <c r="W158" i="12"/>
  <c r="U158" i="12"/>
  <c r="AB157" i="12"/>
  <c r="AA157" i="12"/>
  <c r="Z157" i="12"/>
  <c r="Y157" i="12"/>
  <c r="X157" i="12"/>
  <c r="V157" i="12"/>
  <c r="AD157" i="12" s="1"/>
  <c r="T157" i="12"/>
  <c r="AK156" i="12"/>
  <c r="AE156" i="12"/>
  <c r="AD156" i="12"/>
  <c r="AC156" i="12"/>
  <c r="AB156" i="12"/>
  <c r="AA156" i="12"/>
  <c r="Z156" i="12"/>
  <c r="Y156" i="12"/>
  <c r="X156" i="12"/>
  <c r="W156" i="12"/>
  <c r="U156" i="12"/>
  <c r="AK155" i="12"/>
  <c r="AE155" i="12"/>
  <c r="AD155" i="12"/>
  <c r="AC155" i="12"/>
  <c r="AB155" i="12"/>
  <c r="AA155" i="12"/>
  <c r="Z155" i="12"/>
  <c r="Y155" i="12"/>
  <c r="X155" i="12"/>
  <c r="W155" i="12"/>
  <c r="U155" i="12"/>
  <c r="AK154" i="12"/>
  <c r="AE154" i="12"/>
  <c r="AD154" i="12"/>
  <c r="AC154" i="12"/>
  <c r="AB154" i="12"/>
  <c r="AA154" i="12"/>
  <c r="Z154" i="12"/>
  <c r="Y154" i="12"/>
  <c r="X154" i="12"/>
  <c r="W154" i="12"/>
  <c r="U154" i="12"/>
  <c r="AK153" i="12"/>
  <c r="AE153" i="12"/>
  <c r="AD153" i="12"/>
  <c r="AC153" i="12"/>
  <c r="AB153" i="12"/>
  <c r="AA153" i="12"/>
  <c r="Z153" i="12"/>
  <c r="Y153" i="12"/>
  <c r="X153" i="12"/>
  <c r="W153" i="12"/>
  <c r="U153" i="12"/>
  <c r="AK152" i="12"/>
  <c r="AE152" i="12"/>
  <c r="AD152" i="12"/>
  <c r="AC152" i="12"/>
  <c r="AB152" i="12"/>
  <c r="AA152" i="12"/>
  <c r="Z152" i="12"/>
  <c r="Y152" i="12"/>
  <c r="X152" i="12"/>
  <c r="W152" i="12"/>
  <c r="U152" i="12"/>
  <c r="AK151" i="12"/>
  <c r="AE151" i="12"/>
  <c r="AD151" i="12"/>
  <c r="AC151" i="12"/>
  <c r="AB151" i="12"/>
  <c r="AA151" i="12"/>
  <c r="Z151" i="12"/>
  <c r="Y151" i="12"/>
  <c r="X151" i="12"/>
  <c r="W151" i="12"/>
  <c r="U151" i="12"/>
  <c r="AK150" i="12"/>
  <c r="AE150" i="12"/>
  <c r="AD150" i="12"/>
  <c r="AC150" i="12"/>
  <c r="AB150" i="12"/>
  <c r="AA150" i="12"/>
  <c r="Z150" i="12"/>
  <c r="Y150" i="12"/>
  <c r="X150" i="12"/>
  <c r="W150" i="12"/>
  <c r="U150" i="12"/>
  <c r="AK149" i="12"/>
  <c r="AE149" i="12"/>
  <c r="AD149" i="12"/>
  <c r="AC149" i="12"/>
  <c r="AB149" i="12"/>
  <c r="AA149" i="12"/>
  <c r="Z149" i="12"/>
  <c r="Y149" i="12"/>
  <c r="X149" i="12"/>
  <c r="W149" i="12"/>
  <c r="U149" i="12"/>
  <c r="AK148" i="12"/>
  <c r="AE148" i="12"/>
  <c r="AD148" i="12"/>
  <c r="AC148" i="12"/>
  <c r="AB148" i="12"/>
  <c r="AA148" i="12"/>
  <c r="Z148" i="12"/>
  <c r="Y148" i="12"/>
  <c r="X148" i="12"/>
  <c r="W148" i="12"/>
  <c r="U148" i="12"/>
  <c r="AK147" i="12"/>
  <c r="AE147" i="12"/>
  <c r="AD147" i="12"/>
  <c r="AC147" i="12"/>
  <c r="AB147" i="12"/>
  <c r="AA147" i="12"/>
  <c r="Z147" i="12"/>
  <c r="Y147" i="12"/>
  <c r="X147" i="12"/>
  <c r="W147" i="12"/>
  <c r="U147" i="12"/>
  <c r="AK146" i="12"/>
  <c r="AE146" i="12"/>
  <c r="AD146" i="12"/>
  <c r="AC146" i="12"/>
  <c r="AB146" i="12"/>
  <c r="AA146" i="12"/>
  <c r="Z146" i="12"/>
  <c r="Y146" i="12"/>
  <c r="X146" i="12"/>
  <c r="W146" i="12"/>
  <c r="U146" i="12"/>
  <c r="AK145" i="12"/>
  <c r="AE145" i="12"/>
  <c r="AD145" i="12"/>
  <c r="AC145" i="12"/>
  <c r="AB145" i="12"/>
  <c r="AA145" i="12"/>
  <c r="Z145" i="12"/>
  <c r="Y145" i="12"/>
  <c r="X145" i="12"/>
  <c r="W145" i="12"/>
  <c r="U145" i="12"/>
  <c r="AK144" i="12"/>
  <c r="AE144" i="12"/>
  <c r="AD144" i="12"/>
  <c r="AC144" i="12"/>
  <c r="AB144" i="12"/>
  <c r="AA144" i="12"/>
  <c r="Z144" i="12"/>
  <c r="Y144" i="12"/>
  <c r="X144" i="12"/>
  <c r="W144" i="12"/>
  <c r="U144" i="12"/>
  <c r="AK143" i="12"/>
  <c r="AE143" i="12"/>
  <c r="AD143" i="12"/>
  <c r="AC143" i="12"/>
  <c r="AB143" i="12"/>
  <c r="AA143" i="12"/>
  <c r="Z143" i="12"/>
  <c r="Y143" i="12"/>
  <c r="X143" i="12"/>
  <c r="W143" i="12"/>
  <c r="U143" i="12"/>
  <c r="AK142" i="12"/>
  <c r="AE142" i="12"/>
  <c r="AD142" i="12"/>
  <c r="AC142" i="12"/>
  <c r="AB142" i="12"/>
  <c r="AA142" i="12"/>
  <c r="Z142" i="12"/>
  <c r="Y142" i="12"/>
  <c r="X142" i="12"/>
  <c r="W142" i="12"/>
  <c r="U142" i="12"/>
  <c r="AK141" i="12"/>
  <c r="AE141" i="12"/>
  <c r="AD141" i="12"/>
  <c r="AC141" i="12"/>
  <c r="AB141" i="12"/>
  <c r="AA141" i="12"/>
  <c r="Z141" i="12"/>
  <c r="Y141" i="12"/>
  <c r="X141" i="12"/>
  <c r="W141" i="12"/>
  <c r="U141" i="12"/>
  <c r="AK140" i="12"/>
  <c r="AE140" i="12"/>
  <c r="AD140" i="12"/>
  <c r="AC140" i="12"/>
  <c r="AB140" i="12"/>
  <c r="AA140" i="12"/>
  <c r="Z140" i="12"/>
  <c r="Y140" i="12"/>
  <c r="X140" i="12"/>
  <c r="W140" i="12"/>
  <c r="U140" i="12"/>
  <c r="AK139" i="12"/>
  <c r="AE139" i="12"/>
  <c r="AD139" i="12"/>
  <c r="AC139" i="12"/>
  <c r="AB139" i="12"/>
  <c r="AA139" i="12"/>
  <c r="Z139" i="12"/>
  <c r="Y139" i="12"/>
  <c r="X139" i="12"/>
  <c r="W139" i="12"/>
  <c r="U139" i="12"/>
  <c r="AK138" i="12"/>
  <c r="AE138" i="12"/>
  <c r="AD138" i="12"/>
  <c r="AC138" i="12"/>
  <c r="AB138" i="12"/>
  <c r="AA138" i="12"/>
  <c r="Z138" i="12"/>
  <c r="Y138" i="12"/>
  <c r="X138" i="12"/>
  <c r="W138" i="12"/>
  <c r="U138" i="12"/>
  <c r="AK137" i="12"/>
  <c r="AE137" i="12"/>
  <c r="AD137" i="12"/>
  <c r="AC137" i="12"/>
  <c r="AB137" i="12"/>
  <c r="AA137" i="12"/>
  <c r="Z137" i="12"/>
  <c r="Y137" i="12"/>
  <c r="X137" i="12"/>
  <c r="W137" i="12"/>
  <c r="U137" i="12"/>
  <c r="AK136" i="12"/>
  <c r="AE136" i="12"/>
  <c r="AD136" i="12"/>
  <c r="AC136" i="12"/>
  <c r="AB136" i="12"/>
  <c r="AA136" i="12"/>
  <c r="Z136" i="12"/>
  <c r="Y136" i="12"/>
  <c r="X136" i="12"/>
  <c r="W136" i="12"/>
  <c r="U136" i="12"/>
  <c r="AK135" i="12"/>
  <c r="AE135" i="12"/>
  <c r="AD135" i="12"/>
  <c r="AC135" i="12"/>
  <c r="AB135" i="12"/>
  <c r="AA135" i="12"/>
  <c r="Z135" i="12"/>
  <c r="Y135" i="12"/>
  <c r="X135" i="12"/>
  <c r="W135" i="12"/>
  <c r="U135" i="12"/>
  <c r="AK134" i="12"/>
  <c r="AE134" i="12"/>
  <c r="AD134" i="12"/>
  <c r="AC134" i="12"/>
  <c r="AB134" i="12"/>
  <c r="AA134" i="12"/>
  <c r="Z134" i="12"/>
  <c r="Y134" i="12"/>
  <c r="X134" i="12"/>
  <c r="W134" i="12"/>
  <c r="U134" i="12"/>
  <c r="AK133" i="12"/>
  <c r="AE133" i="12"/>
  <c r="AD133" i="12"/>
  <c r="AC133" i="12"/>
  <c r="AB133" i="12"/>
  <c r="AA133" i="12"/>
  <c r="Z133" i="12"/>
  <c r="Y133" i="12"/>
  <c r="X133" i="12"/>
  <c r="W133" i="12"/>
  <c r="U133" i="12"/>
  <c r="AK132" i="12"/>
  <c r="AE132" i="12"/>
  <c r="AD132" i="12"/>
  <c r="AC132" i="12"/>
  <c r="AB132" i="12"/>
  <c r="AA132" i="12"/>
  <c r="Z132" i="12"/>
  <c r="Y132" i="12"/>
  <c r="X132" i="12"/>
  <c r="W132" i="12"/>
  <c r="U132" i="12"/>
  <c r="AK131" i="12"/>
  <c r="AE131" i="12"/>
  <c r="AD131" i="12"/>
  <c r="AC131" i="12"/>
  <c r="AB131" i="12"/>
  <c r="AA131" i="12"/>
  <c r="Z131" i="12"/>
  <c r="Y131" i="12"/>
  <c r="X131" i="12"/>
  <c r="W131" i="12"/>
  <c r="U131" i="12"/>
  <c r="AK130" i="12"/>
  <c r="AE130" i="12"/>
  <c r="AD130" i="12"/>
  <c r="AC130" i="12"/>
  <c r="AB130" i="12"/>
  <c r="AA130" i="12"/>
  <c r="Z130" i="12"/>
  <c r="Y130" i="12"/>
  <c r="X130" i="12"/>
  <c r="W130" i="12"/>
  <c r="U130" i="12"/>
  <c r="AK129" i="12"/>
  <c r="AE129" i="12"/>
  <c r="AD129" i="12"/>
  <c r="AC129" i="12"/>
  <c r="AB129" i="12"/>
  <c r="AA129" i="12"/>
  <c r="Z129" i="12"/>
  <c r="Y129" i="12"/>
  <c r="X129" i="12"/>
  <c r="W129" i="12"/>
  <c r="U129" i="12"/>
  <c r="AK128" i="12"/>
  <c r="AE128" i="12"/>
  <c r="AD128" i="12"/>
  <c r="AC128" i="12"/>
  <c r="AB128" i="12"/>
  <c r="AA128" i="12"/>
  <c r="Z128" i="12"/>
  <c r="Y128" i="12"/>
  <c r="X128" i="12"/>
  <c r="W128" i="12"/>
  <c r="U128" i="12"/>
  <c r="AK127" i="12"/>
  <c r="AE127" i="12"/>
  <c r="AD127" i="12"/>
  <c r="AC127" i="12"/>
  <c r="AB127" i="12"/>
  <c r="AA127" i="12"/>
  <c r="Z127" i="12"/>
  <c r="Y127" i="12"/>
  <c r="X127" i="12"/>
  <c r="W127" i="12"/>
  <c r="U127" i="12"/>
  <c r="AK126" i="12"/>
  <c r="AE126" i="12"/>
  <c r="AD126" i="12"/>
  <c r="AC126" i="12"/>
  <c r="AB126" i="12"/>
  <c r="AA126" i="12"/>
  <c r="Z126" i="12"/>
  <c r="Y126" i="12"/>
  <c r="X126" i="12"/>
  <c r="W126" i="12"/>
  <c r="U126" i="12"/>
  <c r="AK125" i="12"/>
  <c r="AE125" i="12"/>
  <c r="AD125" i="12"/>
  <c r="AC125" i="12"/>
  <c r="AB125" i="12"/>
  <c r="AA125" i="12"/>
  <c r="Z125" i="12"/>
  <c r="Y125" i="12"/>
  <c r="X125" i="12"/>
  <c r="W125" i="12"/>
  <c r="U125" i="12"/>
  <c r="AK124" i="12"/>
  <c r="AE124" i="12"/>
  <c r="AD124" i="12"/>
  <c r="AC124" i="12"/>
  <c r="AB124" i="12"/>
  <c r="AA124" i="12"/>
  <c r="Z124" i="12"/>
  <c r="Y124" i="12"/>
  <c r="X124" i="12"/>
  <c r="W124" i="12"/>
  <c r="U124" i="12"/>
  <c r="AK123" i="12"/>
  <c r="AE123" i="12"/>
  <c r="AD123" i="12"/>
  <c r="AC123" i="12"/>
  <c r="AB123" i="12"/>
  <c r="AA123" i="12"/>
  <c r="Z123" i="12"/>
  <c r="Y123" i="12"/>
  <c r="X123" i="12"/>
  <c r="W123" i="12"/>
  <c r="U123" i="12"/>
  <c r="AK122" i="12"/>
  <c r="AE122" i="12"/>
  <c r="AD122" i="12"/>
  <c r="AC122" i="12"/>
  <c r="AB122" i="12"/>
  <c r="AA122" i="12"/>
  <c r="Z122" i="12"/>
  <c r="Y122" i="12"/>
  <c r="X122" i="12"/>
  <c r="W122" i="12"/>
  <c r="U122" i="12"/>
  <c r="AK121" i="12"/>
  <c r="AE121" i="12"/>
  <c r="AD121" i="12"/>
  <c r="AC121" i="12"/>
  <c r="AB121" i="12"/>
  <c r="AA121" i="12"/>
  <c r="Z121" i="12"/>
  <c r="Y121" i="12"/>
  <c r="X121" i="12"/>
  <c r="W121" i="12"/>
  <c r="U121" i="12"/>
  <c r="AK120" i="12"/>
  <c r="AE120" i="12"/>
  <c r="AD120" i="12"/>
  <c r="AC120" i="12"/>
  <c r="AB120" i="12"/>
  <c r="AA120" i="12"/>
  <c r="Z120" i="12"/>
  <c r="Y120" i="12"/>
  <c r="X120" i="12"/>
  <c r="W120" i="12"/>
  <c r="U120" i="12"/>
  <c r="AK119" i="12"/>
  <c r="AE119" i="12"/>
  <c r="AD119" i="12"/>
  <c r="AC119" i="12"/>
  <c r="AB119" i="12"/>
  <c r="AA119" i="12"/>
  <c r="Z119" i="12"/>
  <c r="Y119" i="12"/>
  <c r="X119" i="12"/>
  <c r="W119" i="12"/>
  <c r="U119" i="12"/>
  <c r="AK118" i="12"/>
  <c r="AE118" i="12"/>
  <c r="AD118" i="12"/>
  <c r="AC118" i="12"/>
  <c r="AB118" i="12"/>
  <c r="AA118" i="12"/>
  <c r="Z118" i="12"/>
  <c r="Y118" i="12"/>
  <c r="X118" i="12"/>
  <c r="W118" i="12"/>
  <c r="U118" i="12"/>
  <c r="AK117" i="12"/>
  <c r="AE117" i="12"/>
  <c r="AD117" i="12"/>
  <c r="AC117" i="12"/>
  <c r="AB117" i="12"/>
  <c r="AA117" i="12"/>
  <c r="Z117" i="12"/>
  <c r="Y117" i="12"/>
  <c r="X117" i="12"/>
  <c r="W117" i="12"/>
  <c r="U117" i="12"/>
  <c r="AK116" i="12"/>
  <c r="AE116" i="12"/>
  <c r="AD116" i="12"/>
  <c r="AC116" i="12"/>
  <c r="AB116" i="12"/>
  <c r="AA116" i="12"/>
  <c r="Z116" i="12"/>
  <c r="Y116" i="12"/>
  <c r="X116" i="12"/>
  <c r="W116" i="12"/>
  <c r="U116" i="12"/>
  <c r="AK115" i="12"/>
  <c r="AE115" i="12"/>
  <c r="AD115" i="12"/>
  <c r="AC115" i="12"/>
  <c r="AB115" i="12"/>
  <c r="AA115" i="12"/>
  <c r="Z115" i="12"/>
  <c r="Y115" i="12"/>
  <c r="X115" i="12"/>
  <c r="W115" i="12"/>
  <c r="U115" i="12"/>
  <c r="AK114" i="12"/>
  <c r="AE114" i="12"/>
  <c r="AD114" i="12"/>
  <c r="AC114" i="12"/>
  <c r="AB114" i="12"/>
  <c r="AA114" i="12"/>
  <c r="Z114" i="12"/>
  <c r="Y114" i="12"/>
  <c r="X114" i="12"/>
  <c r="W114" i="12"/>
  <c r="U114" i="12"/>
  <c r="AK113" i="12"/>
  <c r="AE113" i="12"/>
  <c r="AD113" i="12"/>
  <c r="AC113" i="12"/>
  <c r="AB113" i="12"/>
  <c r="AA113" i="12"/>
  <c r="Z113" i="12"/>
  <c r="Y113" i="12"/>
  <c r="X113" i="12"/>
  <c r="W113" i="12"/>
  <c r="U113" i="12"/>
  <c r="AK112" i="12"/>
  <c r="AE112" i="12"/>
  <c r="AD112" i="12"/>
  <c r="AC112" i="12"/>
  <c r="AB112" i="12"/>
  <c r="AA112" i="12"/>
  <c r="Z112" i="12"/>
  <c r="Y112" i="12"/>
  <c r="X112" i="12"/>
  <c r="W112" i="12"/>
  <c r="U112" i="12"/>
  <c r="AK111" i="12"/>
  <c r="AE111" i="12"/>
  <c r="AD111" i="12"/>
  <c r="AC111" i="12"/>
  <c r="AB111" i="12"/>
  <c r="AA111" i="12"/>
  <c r="Z111" i="12"/>
  <c r="Y111" i="12"/>
  <c r="X111" i="12"/>
  <c r="W111" i="12"/>
  <c r="U111" i="12"/>
  <c r="AK110" i="12"/>
  <c r="AE110" i="12"/>
  <c r="AD110" i="12"/>
  <c r="AC110" i="12"/>
  <c r="AB110" i="12"/>
  <c r="AA110" i="12"/>
  <c r="Z110" i="12"/>
  <c r="Y110" i="12"/>
  <c r="X110" i="12"/>
  <c r="W110" i="12"/>
  <c r="U110" i="12"/>
  <c r="AK109" i="12"/>
  <c r="AE109" i="12"/>
  <c r="AD109" i="12"/>
  <c r="AC109" i="12"/>
  <c r="AB109" i="12"/>
  <c r="AA109" i="12"/>
  <c r="Z109" i="12"/>
  <c r="Y109" i="12"/>
  <c r="X109" i="12"/>
  <c r="W109" i="12"/>
  <c r="U109" i="12"/>
  <c r="AK108" i="12"/>
  <c r="AE108" i="12"/>
  <c r="AD108" i="12"/>
  <c r="AC108" i="12"/>
  <c r="AB108" i="12"/>
  <c r="AA108" i="12"/>
  <c r="Z108" i="12"/>
  <c r="Y108" i="12"/>
  <c r="X108" i="12"/>
  <c r="W108" i="12"/>
  <c r="U108" i="12"/>
  <c r="AK107" i="12"/>
  <c r="AE107" i="12"/>
  <c r="AD107" i="12"/>
  <c r="AC107" i="12"/>
  <c r="AB107" i="12"/>
  <c r="AA107" i="12"/>
  <c r="Z107" i="12"/>
  <c r="Y107" i="12"/>
  <c r="X107" i="12"/>
  <c r="W107" i="12"/>
  <c r="U107" i="12"/>
  <c r="AK106" i="12"/>
  <c r="AE106" i="12"/>
  <c r="AD106" i="12"/>
  <c r="AC106" i="12"/>
  <c r="AB106" i="12"/>
  <c r="AA106" i="12"/>
  <c r="Z106" i="12"/>
  <c r="Y106" i="12"/>
  <c r="X106" i="12"/>
  <c r="W106" i="12"/>
  <c r="U106" i="12"/>
  <c r="AK105" i="12"/>
  <c r="AE105" i="12"/>
  <c r="AD105" i="12"/>
  <c r="AC105" i="12"/>
  <c r="AB105" i="12"/>
  <c r="AA105" i="12"/>
  <c r="Z105" i="12"/>
  <c r="Y105" i="12"/>
  <c r="X105" i="12"/>
  <c r="W105" i="12"/>
  <c r="U105" i="12"/>
  <c r="AK104" i="12"/>
  <c r="AE104" i="12"/>
  <c r="AD104" i="12"/>
  <c r="AC104" i="12"/>
  <c r="AB104" i="12"/>
  <c r="AA104" i="12"/>
  <c r="Z104" i="12"/>
  <c r="Y104" i="12"/>
  <c r="X104" i="12"/>
  <c r="W104" i="12"/>
  <c r="U104" i="12"/>
  <c r="AK103" i="12"/>
  <c r="AE103" i="12"/>
  <c r="AD103" i="12"/>
  <c r="AC103" i="12"/>
  <c r="AB103" i="12"/>
  <c r="AA103" i="12"/>
  <c r="Z103" i="12"/>
  <c r="Y103" i="12"/>
  <c r="X103" i="12"/>
  <c r="W103" i="12"/>
  <c r="U103" i="12"/>
  <c r="AK102" i="12"/>
  <c r="AE102" i="12"/>
  <c r="AD102" i="12"/>
  <c r="AC102" i="12"/>
  <c r="AB102" i="12"/>
  <c r="AA102" i="12"/>
  <c r="Z102" i="12"/>
  <c r="Y102" i="12"/>
  <c r="X102" i="12"/>
  <c r="W102" i="12"/>
  <c r="U102" i="12"/>
  <c r="AK101" i="12"/>
  <c r="AE101" i="12"/>
  <c r="AD101" i="12"/>
  <c r="AC101" i="12"/>
  <c r="AB101" i="12"/>
  <c r="AA101" i="12"/>
  <c r="Z101" i="12"/>
  <c r="Y101" i="12"/>
  <c r="X101" i="12"/>
  <c r="W101" i="12"/>
  <c r="U101" i="12"/>
  <c r="AK100" i="12"/>
  <c r="AE100" i="12"/>
  <c r="AD100" i="12"/>
  <c r="AC100" i="12"/>
  <c r="AB100" i="12"/>
  <c r="AA100" i="12"/>
  <c r="Z100" i="12"/>
  <c r="Y100" i="12"/>
  <c r="X100" i="12"/>
  <c r="W100" i="12"/>
  <c r="U100" i="12"/>
  <c r="AK99" i="12"/>
  <c r="AE99" i="12"/>
  <c r="AD99" i="12"/>
  <c r="AC99" i="12"/>
  <c r="AB99" i="12"/>
  <c r="AA99" i="12"/>
  <c r="Z99" i="12"/>
  <c r="Y99" i="12"/>
  <c r="X99" i="12"/>
  <c r="W99" i="12"/>
  <c r="U99" i="12"/>
  <c r="AK98" i="12"/>
  <c r="AE98" i="12"/>
  <c r="AD98" i="12"/>
  <c r="AC98" i="12"/>
  <c r="AB98" i="12"/>
  <c r="AA98" i="12"/>
  <c r="Z98" i="12"/>
  <c r="Y98" i="12"/>
  <c r="X98" i="12"/>
  <c r="W98" i="12"/>
  <c r="U98" i="12"/>
  <c r="AK97" i="12"/>
  <c r="AE97" i="12"/>
  <c r="AD97" i="12"/>
  <c r="AC97" i="12"/>
  <c r="AB97" i="12"/>
  <c r="AA97" i="12"/>
  <c r="Z97" i="12"/>
  <c r="Y97" i="12"/>
  <c r="X97" i="12"/>
  <c r="W97" i="12"/>
  <c r="U97" i="12"/>
  <c r="AK96" i="12"/>
  <c r="AE96" i="12"/>
  <c r="AD96" i="12"/>
  <c r="AC96" i="12"/>
  <c r="AB96" i="12"/>
  <c r="AA96" i="12"/>
  <c r="Z96" i="12"/>
  <c r="Y96" i="12"/>
  <c r="X96" i="12"/>
  <c r="W96" i="12"/>
  <c r="U96" i="12"/>
  <c r="AK95" i="12"/>
  <c r="AE95" i="12"/>
  <c r="AD95" i="12"/>
  <c r="AC95" i="12"/>
  <c r="AB95" i="12"/>
  <c r="AA95" i="12"/>
  <c r="Z95" i="12"/>
  <c r="Y95" i="12"/>
  <c r="X95" i="12"/>
  <c r="W95" i="12"/>
  <c r="U95" i="12"/>
  <c r="AK94" i="12"/>
  <c r="AE94" i="12"/>
  <c r="AD94" i="12"/>
  <c r="AC94" i="12"/>
  <c r="AB94" i="12"/>
  <c r="AA94" i="12"/>
  <c r="Z94" i="12"/>
  <c r="Y94" i="12"/>
  <c r="X94" i="12"/>
  <c r="W94" i="12"/>
  <c r="U94" i="12"/>
  <c r="AK93" i="12"/>
  <c r="AE93" i="12"/>
  <c r="AD93" i="12"/>
  <c r="AC93" i="12"/>
  <c r="AB93" i="12"/>
  <c r="AA93" i="12"/>
  <c r="Z93" i="12"/>
  <c r="Y93" i="12"/>
  <c r="X93" i="12"/>
  <c r="W93" i="12"/>
  <c r="U93" i="12"/>
  <c r="AK92" i="12"/>
  <c r="AE92" i="12"/>
  <c r="AD92" i="12"/>
  <c r="AC92" i="12"/>
  <c r="AB92" i="12"/>
  <c r="AA92" i="12"/>
  <c r="Z92" i="12"/>
  <c r="Y92" i="12"/>
  <c r="X92" i="12"/>
  <c r="W92" i="12"/>
  <c r="U92" i="12"/>
  <c r="AK91" i="12"/>
  <c r="AE91" i="12"/>
  <c r="AD91" i="12"/>
  <c r="AC91" i="12"/>
  <c r="AB91" i="12"/>
  <c r="AA91" i="12"/>
  <c r="Z91" i="12"/>
  <c r="Y91" i="12"/>
  <c r="X91" i="12"/>
  <c r="W91" i="12"/>
  <c r="U91" i="12"/>
  <c r="AK90" i="12"/>
  <c r="AE90" i="12"/>
  <c r="AD90" i="12"/>
  <c r="AC90" i="12"/>
  <c r="AB90" i="12"/>
  <c r="AA90" i="12"/>
  <c r="Z90" i="12"/>
  <c r="Y90" i="12"/>
  <c r="X90" i="12"/>
  <c r="W90" i="12"/>
  <c r="U90" i="12"/>
  <c r="AK89" i="12"/>
  <c r="AE89" i="12"/>
  <c r="AD89" i="12"/>
  <c r="AC89" i="12"/>
  <c r="AB89" i="12"/>
  <c r="AA89" i="12"/>
  <c r="Z89" i="12"/>
  <c r="Y89" i="12"/>
  <c r="X89" i="12"/>
  <c r="W89" i="12"/>
  <c r="U89" i="12"/>
  <c r="AK88" i="12"/>
  <c r="AE88" i="12"/>
  <c r="AD88" i="12"/>
  <c r="AC88" i="12"/>
  <c r="AB88" i="12"/>
  <c r="AA88" i="12"/>
  <c r="Z88" i="12"/>
  <c r="Y88" i="12"/>
  <c r="X88" i="12"/>
  <c r="W88" i="12"/>
  <c r="U88" i="12"/>
  <c r="AK87" i="12"/>
  <c r="AE87" i="12"/>
  <c r="AD87" i="12"/>
  <c r="AC87" i="12"/>
  <c r="AB87" i="12"/>
  <c r="AA87" i="12"/>
  <c r="Z87" i="12"/>
  <c r="Y87" i="12"/>
  <c r="X87" i="12"/>
  <c r="W87" i="12"/>
  <c r="U87" i="12"/>
  <c r="AK86" i="12"/>
  <c r="AE86" i="12"/>
  <c r="AD86" i="12"/>
  <c r="AC86" i="12"/>
  <c r="AB86" i="12"/>
  <c r="AA86" i="12"/>
  <c r="Z86" i="12"/>
  <c r="Y86" i="12"/>
  <c r="X86" i="12"/>
  <c r="W86" i="12"/>
  <c r="U86" i="12"/>
  <c r="AK85" i="12"/>
  <c r="AE85" i="12"/>
  <c r="AD85" i="12"/>
  <c r="AC85" i="12"/>
  <c r="AB85" i="12"/>
  <c r="AA85" i="12"/>
  <c r="Z85" i="12"/>
  <c r="Y85" i="12"/>
  <c r="X85" i="12"/>
  <c r="W85" i="12"/>
  <c r="U85" i="12"/>
  <c r="AK84" i="12"/>
  <c r="AE84" i="12"/>
  <c r="AD84" i="12"/>
  <c r="AC84" i="12"/>
  <c r="AB84" i="12"/>
  <c r="AA84" i="12"/>
  <c r="Z84" i="12"/>
  <c r="Y84" i="12"/>
  <c r="X84" i="12"/>
  <c r="W84" i="12"/>
  <c r="U84" i="12"/>
  <c r="AK83" i="12"/>
  <c r="AE83" i="12"/>
  <c r="AD83" i="12"/>
  <c r="AC83" i="12"/>
  <c r="AB83" i="12"/>
  <c r="AA83" i="12"/>
  <c r="Z83" i="12"/>
  <c r="Y83" i="12"/>
  <c r="X83" i="12"/>
  <c r="W83" i="12"/>
  <c r="U83" i="12"/>
  <c r="AK82" i="12"/>
  <c r="AE82" i="12"/>
  <c r="AD82" i="12"/>
  <c r="AC82" i="12"/>
  <c r="AB82" i="12"/>
  <c r="AA82" i="12"/>
  <c r="Z82" i="12"/>
  <c r="Y82" i="12"/>
  <c r="X82" i="12"/>
  <c r="W82" i="12"/>
  <c r="U82" i="12"/>
  <c r="AK81" i="12"/>
  <c r="AE81" i="12"/>
  <c r="AD81" i="12"/>
  <c r="AC81" i="12"/>
  <c r="AB81" i="12"/>
  <c r="AA81" i="12"/>
  <c r="Z81" i="12"/>
  <c r="Y81" i="12"/>
  <c r="X81" i="12"/>
  <c r="W81" i="12"/>
  <c r="U81" i="12"/>
  <c r="AK80" i="12"/>
  <c r="AE80" i="12"/>
  <c r="AD80" i="12"/>
  <c r="AC80" i="12"/>
  <c r="AB80" i="12"/>
  <c r="AA80" i="12"/>
  <c r="Z80" i="12"/>
  <c r="Y80" i="12"/>
  <c r="X80" i="12"/>
  <c r="W80" i="12"/>
  <c r="U80" i="12"/>
  <c r="AK79" i="12"/>
  <c r="AE79" i="12"/>
  <c r="AD79" i="12"/>
  <c r="AC79" i="12"/>
  <c r="AB79" i="12"/>
  <c r="AA79" i="12"/>
  <c r="Z79" i="12"/>
  <c r="Y79" i="12"/>
  <c r="X79" i="12"/>
  <c r="W79" i="12"/>
  <c r="U79" i="12"/>
  <c r="AK78" i="12"/>
  <c r="AE78" i="12"/>
  <c r="AD78" i="12"/>
  <c r="AC78" i="12"/>
  <c r="AB78" i="12"/>
  <c r="AA78" i="12"/>
  <c r="Z78" i="12"/>
  <c r="Y78" i="12"/>
  <c r="X78" i="12"/>
  <c r="W78" i="12"/>
  <c r="U78" i="12"/>
  <c r="AK77" i="12"/>
  <c r="AE77" i="12"/>
  <c r="AD77" i="12"/>
  <c r="AC77" i="12"/>
  <c r="AB77" i="12"/>
  <c r="AA77" i="12"/>
  <c r="Z77" i="12"/>
  <c r="Y77" i="12"/>
  <c r="X77" i="12"/>
  <c r="W77" i="12"/>
  <c r="U77" i="12"/>
  <c r="AK76" i="12"/>
  <c r="AE76" i="12"/>
  <c r="AD76" i="12"/>
  <c r="AC76" i="12"/>
  <c r="AB76" i="12"/>
  <c r="AA76" i="12"/>
  <c r="Z76" i="12"/>
  <c r="Y76" i="12"/>
  <c r="X76" i="12"/>
  <c r="W76" i="12"/>
  <c r="U76" i="12"/>
  <c r="AK75" i="12"/>
  <c r="AE75" i="12"/>
  <c r="AD75" i="12"/>
  <c r="AC75" i="12"/>
  <c r="AB75" i="12"/>
  <c r="AA75" i="12"/>
  <c r="Z75" i="12"/>
  <c r="Y75" i="12"/>
  <c r="X75" i="12"/>
  <c r="W75" i="12"/>
  <c r="U75" i="12"/>
  <c r="AK74" i="12"/>
  <c r="AE74" i="12"/>
  <c r="AD74" i="12"/>
  <c r="AC74" i="12"/>
  <c r="AB74" i="12"/>
  <c r="AA74" i="12"/>
  <c r="Z74" i="12"/>
  <c r="Y74" i="12"/>
  <c r="X74" i="12"/>
  <c r="W74" i="12"/>
  <c r="U74" i="12"/>
  <c r="AK73" i="12"/>
  <c r="AE73" i="12"/>
  <c r="AD73" i="12"/>
  <c r="AC73" i="12"/>
  <c r="AB73" i="12"/>
  <c r="AA73" i="12"/>
  <c r="Z73" i="12"/>
  <c r="Y73" i="12"/>
  <c r="X73" i="12"/>
  <c r="W73" i="12"/>
  <c r="U73" i="12"/>
  <c r="AK72" i="12"/>
  <c r="AE72" i="12"/>
  <c r="AD72" i="12"/>
  <c r="AC72" i="12"/>
  <c r="AB72" i="12"/>
  <c r="AA72" i="12"/>
  <c r="Z72" i="12"/>
  <c r="Y72" i="12"/>
  <c r="X72" i="12"/>
  <c r="W72" i="12"/>
  <c r="U72" i="12"/>
  <c r="AK71" i="12"/>
  <c r="AE71" i="12"/>
  <c r="AD71" i="12"/>
  <c r="AC71" i="12"/>
  <c r="AB71" i="12"/>
  <c r="AA71" i="12"/>
  <c r="Z71" i="12"/>
  <c r="Y71" i="12"/>
  <c r="X71" i="12"/>
  <c r="W71" i="12"/>
  <c r="U71" i="12"/>
  <c r="AK70" i="12"/>
  <c r="AE70" i="12"/>
  <c r="AD70" i="12"/>
  <c r="AC70" i="12"/>
  <c r="AB70" i="12"/>
  <c r="AA70" i="12"/>
  <c r="Z70" i="12"/>
  <c r="Y70" i="12"/>
  <c r="X70" i="12"/>
  <c r="W70" i="12"/>
  <c r="U70" i="12"/>
  <c r="AK69" i="12"/>
  <c r="AE69" i="12"/>
  <c r="AD69" i="12"/>
  <c r="AC69" i="12"/>
  <c r="AB69" i="12"/>
  <c r="AA69" i="12"/>
  <c r="Z69" i="12"/>
  <c r="Y69" i="12"/>
  <c r="X69" i="12"/>
  <c r="W69" i="12"/>
  <c r="U69" i="12"/>
  <c r="AK68" i="12"/>
  <c r="AE68" i="12"/>
  <c r="AD68" i="12"/>
  <c r="AC68" i="12"/>
  <c r="AB68" i="12"/>
  <c r="AA68" i="12"/>
  <c r="Z68" i="12"/>
  <c r="Y68" i="12"/>
  <c r="X68" i="12"/>
  <c r="W68" i="12"/>
  <c r="U68" i="12"/>
  <c r="AK67" i="12"/>
  <c r="AE67" i="12"/>
  <c r="AD67" i="12"/>
  <c r="AC67" i="12"/>
  <c r="AB67" i="12"/>
  <c r="AA67" i="12"/>
  <c r="Z67" i="12"/>
  <c r="Y67" i="12"/>
  <c r="X67" i="12"/>
  <c r="W67" i="12"/>
  <c r="U67" i="12"/>
  <c r="AK66" i="12"/>
  <c r="AE66" i="12"/>
  <c r="AD66" i="12"/>
  <c r="AC66" i="12"/>
  <c r="AB66" i="12"/>
  <c r="AA66" i="12"/>
  <c r="Z66" i="12"/>
  <c r="Y66" i="12"/>
  <c r="X66" i="12"/>
  <c r="W66" i="12"/>
  <c r="U66" i="12"/>
  <c r="AK65" i="12"/>
  <c r="AE65" i="12"/>
  <c r="AD65" i="12"/>
  <c r="AC65" i="12"/>
  <c r="AB65" i="12"/>
  <c r="AA65" i="12"/>
  <c r="Z65" i="12"/>
  <c r="Y65" i="12"/>
  <c r="X65" i="12"/>
  <c r="W65" i="12"/>
  <c r="U65" i="12"/>
  <c r="AK64" i="12"/>
  <c r="AE64" i="12"/>
  <c r="AD64" i="12"/>
  <c r="AC64" i="12"/>
  <c r="AB64" i="12"/>
  <c r="AA64" i="12"/>
  <c r="Z64" i="12"/>
  <c r="Y64" i="12"/>
  <c r="X64" i="12"/>
  <c r="W64" i="12"/>
  <c r="U64" i="12"/>
  <c r="AK63" i="12"/>
  <c r="AE63" i="12"/>
  <c r="AD63" i="12"/>
  <c r="AC63" i="12"/>
  <c r="AB63" i="12"/>
  <c r="AA63" i="12"/>
  <c r="Z63" i="12"/>
  <c r="Y63" i="12"/>
  <c r="X63" i="12"/>
  <c r="W63" i="12"/>
  <c r="U63" i="12"/>
  <c r="AK62" i="12"/>
  <c r="AE62" i="12"/>
  <c r="AD62" i="12"/>
  <c r="AC62" i="12"/>
  <c r="AB62" i="12"/>
  <c r="AA62" i="12"/>
  <c r="Z62" i="12"/>
  <c r="Y62" i="12"/>
  <c r="X62" i="12"/>
  <c r="W62" i="12"/>
  <c r="U62" i="12"/>
  <c r="AK61" i="12"/>
  <c r="AE61" i="12"/>
  <c r="AD61" i="12"/>
  <c r="AC61" i="12"/>
  <c r="AB61" i="12"/>
  <c r="AA61" i="12"/>
  <c r="Z61" i="12"/>
  <c r="Y61" i="12"/>
  <c r="X61" i="12"/>
  <c r="W61" i="12"/>
  <c r="U61" i="12"/>
  <c r="AK60" i="12"/>
  <c r="AE60" i="12"/>
  <c r="AD60" i="12"/>
  <c r="AC60" i="12"/>
  <c r="AB60" i="12"/>
  <c r="AA60" i="12"/>
  <c r="Z60" i="12"/>
  <c r="Y60" i="12"/>
  <c r="X60" i="12"/>
  <c r="W60" i="12"/>
  <c r="U60" i="12"/>
  <c r="AK59" i="12"/>
  <c r="AE59" i="12"/>
  <c r="AD59" i="12"/>
  <c r="AC59" i="12"/>
  <c r="AB59" i="12"/>
  <c r="AA59" i="12"/>
  <c r="Z59" i="12"/>
  <c r="Y59" i="12"/>
  <c r="X59" i="12"/>
  <c r="W59" i="12"/>
  <c r="U59" i="12"/>
  <c r="AK58" i="12"/>
  <c r="AE58" i="12"/>
  <c r="AD58" i="12"/>
  <c r="AC58" i="12"/>
  <c r="AB58" i="12"/>
  <c r="AA58" i="12"/>
  <c r="Z58" i="12"/>
  <c r="Y58" i="12"/>
  <c r="X58" i="12"/>
  <c r="W58" i="12"/>
  <c r="U58" i="12"/>
  <c r="AK57" i="12"/>
  <c r="AE57" i="12"/>
  <c r="AD57" i="12"/>
  <c r="AC57" i="12"/>
  <c r="AB57" i="12"/>
  <c r="AA57" i="12"/>
  <c r="Z57" i="12"/>
  <c r="Y57" i="12"/>
  <c r="X57" i="12"/>
  <c r="W57" i="12"/>
  <c r="U57" i="12"/>
  <c r="AK56" i="12"/>
  <c r="AE56" i="12"/>
  <c r="AD56" i="12"/>
  <c r="AC56" i="12"/>
  <c r="AB56" i="12"/>
  <c r="AA56" i="12"/>
  <c r="Z56" i="12"/>
  <c r="Y56" i="12"/>
  <c r="X56" i="12"/>
  <c r="W56" i="12"/>
  <c r="U56" i="12"/>
  <c r="AK55" i="12"/>
  <c r="AE55" i="12"/>
  <c r="AD55" i="12"/>
  <c r="AC55" i="12"/>
  <c r="AB55" i="12"/>
  <c r="AA55" i="12"/>
  <c r="Z55" i="12"/>
  <c r="Y55" i="12"/>
  <c r="X55" i="12"/>
  <c r="W55" i="12"/>
  <c r="U55" i="12"/>
  <c r="AK54" i="12"/>
  <c r="AE54" i="12"/>
  <c r="AD54" i="12"/>
  <c r="AC54" i="12"/>
  <c r="AB54" i="12"/>
  <c r="AA54" i="12"/>
  <c r="Z54" i="12"/>
  <c r="Y54" i="12"/>
  <c r="X54" i="12"/>
  <c r="W54" i="12"/>
  <c r="U54" i="12"/>
  <c r="AK53" i="12"/>
  <c r="AE53" i="12"/>
  <c r="AD53" i="12"/>
  <c r="AC53" i="12"/>
  <c r="AB53" i="12"/>
  <c r="AA53" i="12"/>
  <c r="Z53" i="12"/>
  <c r="Y53" i="12"/>
  <c r="X53" i="12"/>
  <c r="W53" i="12"/>
  <c r="U53" i="12"/>
  <c r="AK52" i="12"/>
  <c r="AE52" i="12"/>
  <c r="AD52" i="12"/>
  <c r="AC52" i="12"/>
  <c r="AB52" i="12"/>
  <c r="AA52" i="12"/>
  <c r="Z52" i="12"/>
  <c r="Y52" i="12"/>
  <c r="X52" i="12"/>
  <c r="W52" i="12"/>
  <c r="U52" i="12"/>
  <c r="AK51" i="12"/>
  <c r="AE51" i="12"/>
  <c r="AD51" i="12"/>
  <c r="AC51" i="12"/>
  <c r="AB51" i="12"/>
  <c r="AA51" i="12"/>
  <c r="Z51" i="12"/>
  <c r="Y51" i="12"/>
  <c r="X51" i="12"/>
  <c r="W51" i="12"/>
  <c r="U51" i="12"/>
  <c r="AK50" i="12"/>
  <c r="AE50" i="12"/>
  <c r="AD50" i="12"/>
  <c r="AC50" i="12"/>
  <c r="AB50" i="12"/>
  <c r="AA50" i="12"/>
  <c r="Z50" i="12"/>
  <c r="Y50" i="12"/>
  <c r="X50" i="12"/>
  <c r="W50" i="12"/>
  <c r="U50" i="12"/>
  <c r="AK49" i="12"/>
  <c r="AE49" i="12"/>
  <c r="AD49" i="12"/>
  <c r="AC49" i="12"/>
  <c r="AB49" i="12"/>
  <c r="AA49" i="12"/>
  <c r="Z49" i="12"/>
  <c r="Y49" i="12"/>
  <c r="X49" i="12"/>
  <c r="W49" i="12"/>
  <c r="U49" i="12"/>
  <c r="AK48" i="12"/>
  <c r="AE48" i="12"/>
  <c r="AD48" i="12"/>
  <c r="AC48" i="12"/>
  <c r="AB48" i="12"/>
  <c r="AA48" i="12"/>
  <c r="Z48" i="12"/>
  <c r="Y48" i="12"/>
  <c r="X48" i="12"/>
  <c r="W48" i="12"/>
  <c r="U48" i="12"/>
  <c r="AK47" i="12"/>
  <c r="AE47" i="12"/>
  <c r="AD47" i="12"/>
  <c r="AC47" i="12"/>
  <c r="AB47" i="12"/>
  <c r="AA47" i="12"/>
  <c r="Z47" i="12"/>
  <c r="Y47" i="12"/>
  <c r="X47" i="12"/>
  <c r="W47" i="12"/>
  <c r="U47" i="12"/>
  <c r="AK46" i="12"/>
  <c r="AE46" i="12"/>
  <c r="AD46" i="12"/>
  <c r="AC46" i="12"/>
  <c r="AB46" i="12"/>
  <c r="AA46" i="12"/>
  <c r="Z46" i="12"/>
  <c r="Y46" i="12"/>
  <c r="X46" i="12"/>
  <c r="W46" i="12"/>
  <c r="U46" i="12"/>
  <c r="AK45" i="12"/>
  <c r="AE45" i="12"/>
  <c r="AD45" i="12"/>
  <c r="AC45" i="12"/>
  <c r="AB45" i="12"/>
  <c r="AA45" i="12"/>
  <c r="Z45" i="12"/>
  <c r="Y45" i="12"/>
  <c r="X45" i="12"/>
  <c r="W45" i="12"/>
  <c r="U45" i="12"/>
  <c r="AK44" i="12"/>
  <c r="AE44" i="12"/>
  <c r="AD44" i="12"/>
  <c r="AC44" i="12"/>
  <c r="AB44" i="12"/>
  <c r="AA44" i="12"/>
  <c r="Z44" i="12"/>
  <c r="Y44" i="12"/>
  <c r="X44" i="12"/>
  <c r="W44" i="12"/>
  <c r="U44" i="12"/>
  <c r="AK43" i="12"/>
  <c r="AE43" i="12"/>
  <c r="AD43" i="12"/>
  <c r="AC43" i="12"/>
  <c r="AB43" i="12"/>
  <c r="AA43" i="12"/>
  <c r="Z43" i="12"/>
  <c r="Y43" i="12"/>
  <c r="X43" i="12"/>
  <c r="W43" i="12"/>
  <c r="U43" i="12"/>
  <c r="AK42" i="12"/>
  <c r="AE42" i="12"/>
  <c r="AD42" i="12"/>
  <c r="AC42" i="12"/>
  <c r="AB42" i="12"/>
  <c r="AA42" i="12"/>
  <c r="Z42" i="12"/>
  <c r="Y42" i="12"/>
  <c r="X42" i="12"/>
  <c r="W42" i="12"/>
  <c r="U42" i="12"/>
  <c r="AK41" i="12"/>
  <c r="AE41" i="12"/>
  <c r="AD41" i="12"/>
  <c r="AC41" i="12"/>
  <c r="AB41" i="12"/>
  <c r="AA41" i="12"/>
  <c r="Z41" i="12"/>
  <c r="Y41" i="12"/>
  <c r="X41" i="12"/>
  <c r="W41" i="12"/>
  <c r="U41" i="12"/>
  <c r="AK40" i="12"/>
  <c r="AE40" i="12"/>
  <c r="AD40" i="12"/>
  <c r="AC40" i="12"/>
  <c r="AB40" i="12"/>
  <c r="AA40" i="12"/>
  <c r="Z40" i="12"/>
  <c r="Y40" i="12"/>
  <c r="X40" i="12"/>
  <c r="W40" i="12"/>
  <c r="U40" i="12"/>
  <c r="AK39" i="12"/>
  <c r="AE39" i="12"/>
  <c r="AD39" i="12"/>
  <c r="AC39" i="12"/>
  <c r="AB39" i="12"/>
  <c r="AA39" i="12"/>
  <c r="Z39" i="12"/>
  <c r="Y39" i="12"/>
  <c r="X39" i="12"/>
  <c r="W39" i="12"/>
  <c r="U39" i="12"/>
  <c r="AK38" i="12"/>
  <c r="AE38" i="12"/>
  <c r="AD38" i="12"/>
  <c r="AC38" i="12"/>
  <c r="AB38" i="12"/>
  <c r="AA38" i="12"/>
  <c r="Z38" i="12"/>
  <c r="Y38" i="12"/>
  <c r="X38" i="12"/>
  <c r="W38" i="12"/>
  <c r="U38" i="12"/>
  <c r="AK37" i="12"/>
  <c r="AE37" i="12"/>
  <c r="AD37" i="12"/>
  <c r="AC37" i="12"/>
  <c r="AB37" i="12"/>
  <c r="AA37" i="12"/>
  <c r="Z37" i="12"/>
  <c r="Y37" i="12"/>
  <c r="X37" i="12"/>
  <c r="W37" i="12"/>
  <c r="U37" i="12"/>
  <c r="AK36" i="12"/>
  <c r="AE36" i="12"/>
  <c r="AD36" i="12"/>
  <c r="AC36" i="12"/>
  <c r="AB36" i="12"/>
  <c r="AA36" i="12"/>
  <c r="Z36" i="12"/>
  <c r="Y36" i="12"/>
  <c r="X36" i="12"/>
  <c r="W36" i="12"/>
  <c r="U36" i="12"/>
  <c r="AK35" i="12"/>
  <c r="AE35" i="12"/>
  <c r="AD35" i="12"/>
  <c r="AC35" i="12"/>
  <c r="AB35" i="12"/>
  <c r="AA35" i="12"/>
  <c r="Z35" i="12"/>
  <c r="Y35" i="12"/>
  <c r="X35" i="12"/>
  <c r="W35" i="12"/>
  <c r="U35" i="12"/>
  <c r="AK34" i="12"/>
  <c r="AE34" i="12"/>
  <c r="AD34" i="12"/>
  <c r="AC34" i="12"/>
  <c r="AB34" i="12"/>
  <c r="AA34" i="12"/>
  <c r="Z34" i="12"/>
  <c r="Y34" i="12"/>
  <c r="X34" i="12"/>
  <c r="W34" i="12"/>
  <c r="U34" i="12"/>
  <c r="AK33" i="12"/>
  <c r="AE33" i="12"/>
  <c r="AD33" i="12"/>
  <c r="AC33" i="12"/>
  <c r="AB33" i="12"/>
  <c r="AA33" i="12"/>
  <c r="Z33" i="12"/>
  <c r="Y33" i="12"/>
  <c r="X33" i="12"/>
  <c r="W33" i="12"/>
  <c r="U33" i="12"/>
  <c r="AK32" i="12"/>
  <c r="AE32" i="12"/>
  <c r="AD32" i="12"/>
  <c r="AC32" i="12"/>
  <c r="AB32" i="12"/>
  <c r="AA32" i="12"/>
  <c r="Z32" i="12"/>
  <c r="Y32" i="12"/>
  <c r="X32" i="12"/>
  <c r="W32" i="12"/>
  <c r="U32" i="12"/>
  <c r="AK31" i="12"/>
  <c r="AE31" i="12"/>
  <c r="AD31" i="12"/>
  <c r="AC31" i="12"/>
  <c r="AB31" i="12"/>
  <c r="AA31" i="12"/>
  <c r="Z31" i="12"/>
  <c r="Y31" i="12"/>
  <c r="X31" i="12"/>
  <c r="W31" i="12"/>
  <c r="U31" i="12"/>
  <c r="AK30" i="12"/>
  <c r="AE30" i="12"/>
  <c r="AD30" i="12"/>
  <c r="AC30" i="12"/>
  <c r="AB30" i="12"/>
  <c r="AA30" i="12"/>
  <c r="Z30" i="12"/>
  <c r="Y30" i="12"/>
  <c r="X30" i="12"/>
  <c r="W30" i="12"/>
  <c r="U30" i="12"/>
  <c r="AK29" i="12"/>
  <c r="AE29" i="12"/>
  <c r="AD29" i="12"/>
  <c r="AC29" i="12"/>
  <c r="AB29" i="12"/>
  <c r="AA29" i="12"/>
  <c r="Z29" i="12"/>
  <c r="Y29" i="12"/>
  <c r="X29" i="12"/>
  <c r="W29" i="12"/>
  <c r="U29" i="12"/>
  <c r="AK28" i="12"/>
  <c r="AE28" i="12"/>
  <c r="AD28" i="12"/>
  <c r="AC28" i="12"/>
  <c r="AB28" i="12"/>
  <c r="AA28" i="12"/>
  <c r="Z28" i="12"/>
  <c r="Y28" i="12"/>
  <c r="X28" i="12"/>
  <c r="W28" i="12"/>
  <c r="U28" i="12"/>
  <c r="AK27" i="12"/>
  <c r="AE27" i="12"/>
  <c r="AD27" i="12"/>
  <c r="AC27" i="12"/>
  <c r="AB27" i="12"/>
  <c r="AA27" i="12"/>
  <c r="Z27" i="12"/>
  <c r="Y27" i="12"/>
  <c r="X27" i="12"/>
  <c r="W27" i="12"/>
  <c r="U27" i="12"/>
  <c r="AK26" i="12"/>
  <c r="AE26" i="12"/>
  <c r="AD26" i="12"/>
  <c r="AC26" i="12"/>
  <c r="AB26" i="12"/>
  <c r="AA26" i="12"/>
  <c r="Z26" i="12"/>
  <c r="Y26" i="12"/>
  <c r="X26" i="12"/>
  <c r="W26" i="12"/>
  <c r="U26" i="12"/>
  <c r="AK25" i="12"/>
  <c r="AE25" i="12"/>
  <c r="AD25" i="12"/>
  <c r="AC25" i="12"/>
  <c r="AB25" i="12"/>
  <c r="AA25" i="12"/>
  <c r="Z25" i="12"/>
  <c r="Y25" i="12"/>
  <c r="X25" i="12"/>
  <c r="W25" i="12"/>
  <c r="U25" i="12"/>
  <c r="AK24" i="12"/>
  <c r="AE24" i="12"/>
  <c r="AD24" i="12"/>
  <c r="AC24" i="12"/>
  <c r="AB24" i="12"/>
  <c r="AA24" i="12"/>
  <c r="Z24" i="12"/>
  <c r="Y24" i="12"/>
  <c r="X24" i="12"/>
  <c r="W24" i="12"/>
  <c r="U24" i="12"/>
  <c r="AK23" i="12"/>
  <c r="AE23" i="12"/>
  <c r="AD23" i="12"/>
  <c r="AC23" i="12"/>
  <c r="AB23" i="12"/>
  <c r="AA23" i="12"/>
  <c r="Z23" i="12"/>
  <c r="Y23" i="12"/>
  <c r="X23" i="12"/>
  <c r="W23" i="12"/>
  <c r="U23" i="12"/>
  <c r="AK22" i="12"/>
  <c r="AE22" i="12"/>
  <c r="AD22" i="12"/>
  <c r="AC22" i="12"/>
  <c r="AB22" i="12"/>
  <c r="AA22" i="12"/>
  <c r="Z22" i="12"/>
  <c r="Y22" i="12"/>
  <c r="X22" i="12"/>
  <c r="W22" i="12"/>
  <c r="U22" i="12"/>
  <c r="AK21" i="12"/>
  <c r="AE21" i="12"/>
  <c r="AD21" i="12"/>
  <c r="AC21" i="12"/>
  <c r="AB21" i="12"/>
  <c r="AA21" i="12"/>
  <c r="Z21" i="12"/>
  <c r="Y21" i="12"/>
  <c r="X21" i="12"/>
  <c r="W21" i="12"/>
  <c r="U21" i="12"/>
  <c r="AK20" i="12"/>
  <c r="AE20" i="12"/>
  <c r="AD20" i="12"/>
  <c r="AC20" i="12"/>
  <c r="AB20" i="12"/>
  <c r="AA20" i="12"/>
  <c r="Z20" i="12"/>
  <c r="Y20" i="12"/>
  <c r="X20" i="12"/>
  <c r="W20" i="12"/>
  <c r="U20" i="12"/>
  <c r="AK19" i="12"/>
  <c r="AE19" i="12"/>
  <c r="AD19" i="12"/>
  <c r="AC19" i="12"/>
  <c r="AB19" i="12"/>
  <c r="AA19" i="12"/>
  <c r="Z19" i="12"/>
  <c r="Y19" i="12"/>
  <c r="X19" i="12"/>
  <c r="W19" i="12"/>
  <c r="U19" i="12"/>
  <c r="AK18" i="12"/>
  <c r="AE18" i="12"/>
  <c r="AD18" i="12"/>
  <c r="AC18" i="12"/>
  <c r="AB18" i="12"/>
  <c r="AA18" i="12"/>
  <c r="Z18" i="12"/>
  <c r="Y18" i="12"/>
  <c r="X18" i="12"/>
  <c r="W18" i="12"/>
  <c r="U18" i="12"/>
  <c r="AK17" i="12"/>
  <c r="AE17" i="12"/>
  <c r="AD17" i="12"/>
  <c r="AC17" i="12"/>
  <c r="AB17" i="12"/>
  <c r="AA17" i="12"/>
  <c r="Z17" i="12"/>
  <c r="Y17" i="12"/>
  <c r="X17" i="12"/>
  <c r="W17" i="12"/>
  <c r="U17" i="12"/>
  <c r="AK16" i="12"/>
  <c r="AE16" i="12"/>
  <c r="AD16" i="12"/>
  <c r="AC16" i="12"/>
  <c r="AB16" i="12"/>
  <c r="AA16" i="12"/>
  <c r="Z16" i="12"/>
  <c r="Y16" i="12"/>
  <c r="X16" i="12"/>
  <c r="W16" i="12"/>
  <c r="U16" i="12"/>
  <c r="AK15" i="12"/>
  <c r="AE15" i="12"/>
  <c r="AD15" i="12"/>
  <c r="AC15" i="12"/>
  <c r="AB15" i="12"/>
  <c r="AA15" i="12"/>
  <c r="Z15" i="12"/>
  <c r="Y15" i="12"/>
  <c r="X15" i="12"/>
  <c r="W15" i="12"/>
  <c r="U15" i="12"/>
  <c r="AK14" i="12"/>
  <c r="AE14" i="12"/>
  <c r="AD14" i="12"/>
  <c r="AC14" i="12"/>
  <c r="AB14" i="12"/>
  <c r="AA14" i="12"/>
  <c r="Z14" i="12"/>
  <c r="Y14" i="12"/>
  <c r="X14" i="12"/>
  <c r="W14" i="12"/>
  <c r="U14" i="12"/>
  <c r="AK13" i="12"/>
  <c r="AE13" i="12"/>
  <c r="AD13" i="12"/>
  <c r="AC13" i="12"/>
  <c r="AB13" i="12"/>
  <c r="AA13" i="12"/>
  <c r="Z13" i="12"/>
  <c r="Y13" i="12"/>
  <c r="X13" i="12"/>
  <c r="W13" i="12"/>
  <c r="U13" i="12"/>
  <c r="AK12" i="12"/>
  <c r="AE12" i="12"/>
  <c r="AD12" i="12"/>
  <c r="AC12" i="12"/>
  <c r="AB12" i="12"/>
  <c r="AA12" i="12"/>
  <c r="Z12" i="12"/>
  <c r="Y12" i="12"/>
  <c r="X12" i="12"/>
  <c r="W12" i="12"/>
  <c r="U12" i="12"/>
  <c r="AK11" i="12"/>
  <c r="AE11" i="12"/>
  <c r="AD11" i="12"/>
  <c r="AC11" i="12"/>
  <c r="AB11" i="12"/>
  <c r="AA11" i="12"/>
  <c r="Z11" i="12"/>
  <c r="Y11" i="12"/>
  <c r="X11" i="12"/>
  <c r="W11" i="12"/>
  <c r="U11" i="12"/>
  <c r="AK10" i="12"/>
  <c r="AE10" i="12"/>
  <c r="AD10" i="12"/>
  <c r="AC10" i="12"/>
  <c r="AB10" i="12"/>
  <c r="AA10" i="12"/>
  <c r="Z10" i="12"/>
  <c r="Y10" i="12"/>
  <c r="X10" i="12"/>
  <c r="W10" i="12"/>
  <c r="U10" i="12"/>
  <c r="AK9" i="12"/>
  <c r="AE9" i="12"/>
  <c r="AD9" i="12"/>
  <c r="AC9" i="12"/>
  <c r="AB9" i="12"/>
  <c r="AA9" i="12"/>
  <c r="Z9" i="12"/>
  <c r="Y9" i="12"/>
  <c r="X9" i="12"/>
  <c r="W9" i="12"/>
  <c r="U9" i="12"/>
  <c r="AK8" i="12"/>
  <c r="AE8" i="12"/>
  <c r="AD8" i="12"/>
  <c r="AC8" i="12"/>
  <c r="AB8" i="12"/>
  <c r="AA8" i="12"/>
  <c r="Z8" i="12"/>
  <c r="Y8" i="12"/>
  <c r="X8" i="12"/>
  <c r="W8" i="12"/>
  <c r="U8" i="12"/>
  <c r="AK7" i="12"/>
  <c r="AE7" i="12"/>
  <c r="AD7" i="12"/>
  <c r="AC7" i="12"/>
  <c r="AB7" i="12"/>
  <c r="AA7" i="12"/>
  <c r="Z7" i="12"/>
  <c r="Y7" i="12"/>
  <c r="X7" i="12"/>
  <c r="W7" i="12"/>
  <c r="U7" i="12"/>
  <c r="AK6" i="12"/>
  <c r="AE6" i="12"/>
  <c r="AD6" i="12"/>
  <c r="AC6" i="12"/>
  <c r="AB6" i="12"/>
  <c r="AA6" i="12"/>
  <c r="Z6" i="12"/>
  <c r="Y6" i="12"/>
  <c r="X6" i="12"/>
  <c r="W6" i="12"/>
  <c r="U6" i="12"/>
  <c r="AK5" i="12"/>
  <c r="AE5" i="12"/>
  <c r="AD5" i="12"/>
  <c r="AC5" i="12"/>
  <c r="AB5" i="12"/>
  <c r="AA5" i="12"/>
  <c r="Z5" i="12"/>
  <c r="Y5" i="12"/>
  <c r="X5" i="12"/>
  <c r="W5" i="12"/>
  <c r="U5" i="12"/>
  <c r="AK4" i="12"/>
  <c r="AE4" i="12"/>
  <c r="AD4" i="12"/>
  <c r="AC4" i="12"/>
  <c r="AB4" i="12"/>
  <c r="AA4" i="12"/>
  <c r="Z4" i="12"/>
  <c r="Y4" i="12"/>
  <c r="X4" i="12"/>
  <c r="W4" i="12"/>
  <c r="U4" i="12"/>
  <c r="AK3" i="12"/>
  <c r="AE3" i="12"/>
  <c r="AD3" i="12"/>
  <c r="AC3" i="12"/>
  <c r="AB3" i="12"/>
  <c r="AA3" i="12"/>
  <c r="Z3" i="12"/>
  <c r="Y3" i="12"/>
  <c r="X3" i="12"/>
  <c r="W3" i="12"/>
  <c r="U3" i="12"/>
  <c r="AK2" i="12"/>
  <c r="AE2" i="12"/>
  <c r="AD2" i="12"/>
  <c r="AC2" i="12"/>
  <c r="AB2" i="12"/>
  <c r="AA2" i="12"/>
  <c r="Z2" i="12"/>
  <c r="Y2" i="12"/>
  <c r="X2" i="12"/>
  <c r="W2" i="12"/>
  <c r="U2" i="12"/>
  <c r="H15" i="9"/>
  <c r="H14" i="9"/>
  <c r="H13" i="9"/>
  <c r="H12" i="9"/>
  <c r="N8" i="9" a="1"/>
  <c r="N8" i="9" s="1"/>
  <c r="F8" i="9"/>
  <c r="N7" i="9" a="1"/>
  <c r="N7" i="9" s="1"/>
  <c r="F7" i="9"/>
  <c r="N6" i="9" a="1"/>
  <c r="N6" i="9"/>
  <c r="F6" i="9"/>
  <c r="N5" i="9" a="1"/>
  <c r="N5" i="9"/>
  <c r="F5" i="9"/>
  <c r="N4" i="9" a="1"/>
  <c r="N4" i="9"/>
  <c r="F4" i="9"/>
  <c r="N3" i="9" a="1"/>
  <c r="N3" i="9"/>
  <c r="F3" i="9"/>
  <c r="N2" i="9" a="1"/>
  <c r="N2" i="9"/>
  <c r="F2" i="9"/>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F1" i="8"/>
  <c r="O442" i="7"/>
  <c r="H442" i="7"/>
  <c r="O441" i="7"/>
  <c r="H441" i="7"/>
  <c r="O440" i="7"/>
  <c r="H440" i="7"/>
  <c r="O439" i="7"/>
  <c r="H439" i="7"/>
  <c r="O438" i="7"/>
  <c r="H438" i="7"/>
  <c r="O437" i="7"/>
  <c r="H437" i="7"/>
  <c r="O436" i="7"/>
  <c r="H436" i="7"/>
  <c r="O435" i="7"/>
  <c r="H435" i="7"/>
  <c r="O434" i="7"/>
  <c r="H434" i="7"/>
  <c r="O433" i="7"/>
  <c r="H433" i="7"/>
  <c r="O432" i="7"/>
  <c r="H432" i="7"/>
  <c r="O431" i="7"/>
  <c r="H431" i="7"/>
  <c r="O430" i="7"/>
  <c r="H430" i="7"/>
  <c r="O429" i="7"/>
  <c r="O428" i="7"/>
  <c r="H428" i="7"/>
  <c r="O427" i="7"/>
  <c r="H427" i="7"/>
  <c r="O426" i="7"/>
  <c r="H426" i="7"/>
  <c r="O425" i="7"/>
  <c r="O424" i="7"/>
  <c r="H424" i="7"/>
  <c r="O423" i="7"/>
  <c r="O422" i="7"/>
  <c r="O421" i="7"/>
  <c r="O420" i="7"/>
  <c r="H420" i="7"/>
  <c r="O419" i="7"/>
  <c r="H419" i="7"/>
  <c r="O418" i="7"/>
  <c r="H418" i="7"/>
  <c r="O417" i="7"/>
  <c r="H417" i="7"/>
  <c r="O416" i="7"/>
  <c r="H416" i="7"/>
  <c r="O415" i="7"/>
  <c r="H415" i="7"/>
  <c r="O414" i="7"/>
  <c r="H414" i="7"/>
  <c r="O413" i="7"/>
  <c r="H413" i="7"/>
  <c r="O412" i="7"/>
  <c r="H412" i="7"/>
  <c r="O411" i="7"/>
  <c r="H411" i="7"/>
  <c r="O410" i="7"/>
  <c r="H410" i="7"/>
  <c r="O409" i="7"/>
  <c r="H409" i="7"/>
  <c r="O408" i="7"/>
  <c r="H408" i="7"/>
  <c r="O407" i="7"/>
  <c r="H407" i="7"/>
  <c r="O406" i="7"/>
  <c r="O405" i="7"/>
  <c r="H405" i="7"/>
  <c r="O404" i="7"/>
  <c r="H404" i="7"/>
  <c r="O403" i="7"/>
  <c r="O402" i="7"/>
  <c r="O401" i="7"/>
  <c r="O400" i="7"/>
  <c r="O399" i="7"/>
  <c r="H399" i="7"/>
  <c r="O398" i="7"/>
  <c r="H398" i="7"/>
  <c r="O397" i="7"/>
  <c r="H397" i="7"/>
  <c r="O396" i="7"/>
  <c r="H396" i="7"/>
  <c r="O395" i="7"/>
  <c r="H395" i="7"/>
  <c r="O394" i="7"/>
  <c r="O393" i="7"/>
  <c r="O392" i="7"/>
  <c r="O391" i="7"/>
  <c r="O390" i="7"/>
  <c r="O389" i="7"/>
  <c r="O388" i="7"/>
  <c r="O387" i="7"/>
  <c r="O386" i="7"/>
  <c r="O385" i="7"/>
  <c r="O384" i="7"/>
  <c r="O383" i="7"/>
  <c r="H383" i="7"/>
  <c r="O382" i="7"/>
  <c r="H382" i="7"/>
  <c r="O381" i="7"/>
  <c r="H381" i="7"/>
  <c r="O380" i="7"/>
  <c r="O379" i="7"/>
  <c r="H379" i="7"/>
  <c r="O378" i="7"/>
  <c r="O377" i="7"/>
  <c r="H377" i="7"/>
  <c r="O376" i="7"/>
  <c r="H376" i="7"/>
  <c r="O375" i="7"/>
  <c r="H375" i="7"/>
  <c r="O374" i="7"/>
  <c r="H374" i="7"/>
  <c r="O373" i="7"/>
  <c r="H373" i="7"/>
  <c r="O372" i="7"/>
  <c r="H372" i="7"/>
  <c r="O371" i="7"/>
  <c r="O370" i="7"/>
  <c r="O369" i="7"/>
  <c r="O368" i="7"/>
  <c r="H368" i="7"/>
  <c r="O367" i="7"/>
  <c r="H367" i="7"/>
  <c r="O366" i="7"/>
  <c r="H366" i="7"/>
  <c r="O365" i="7"/>
  <c r="H365" i="7"/>
  <c r="O364" i="7"/>
  <c r="H364" i="7"/>
  <c r="O363" i="7"/>
  <c r="H363" i="7"/>
  <c r="O362" i="7"/>
  <c r="H362" i="7"/>
  <c r="O361" i="7"/>
  <c r="O360" i="7"/>
  <c r="O359" i="7"/>
  <c r="H359" i="7"/>
  <c r="O358" i="7"/>
  <c r="O357" i="7"/>
  <c r="O356" i="7"/>
  <c r="O355" i="7"/>
  <c r="O354" i="7"/>
  <c r="O353" i="7"/>
  <c r="O352" i="7"/>
  <c r="O351" i="7"/>
  <c r="O350" i="7"/>
  <c r="O349" i="7"/>
  <c r="O348" i="7"/>
  <c r="O347" i="7"/>
  <c r="O346" i="7"/>
  <c r="O345" i="7"/>
  <c r="O344" i="7"/>
  <c r="H344" i="7"/>
  <c r="O343" i="7"/>
  <c r="H343" i="7"/>
  <c r="O342" i="7"/>
  <c r="H342" i="7"/>
  <c r="O341" i="7"/>
  <c r="H341" i="7"/>
  <c r="O340" i="7"/>
  <c r="H340" i="7"/>
  <c r="O339" i="7"/>
  <c r="H339" i="7"/>
  <c r="O338" i="7"/>
  <c r="H338" i="7"/>
  <c r="O337" i="7"/>
  <c r="H337" i="7"/>
  <c r="O336" i="7"/>
  <c r="H336" i="7"/>
  <c r="O335" i="7"/>
  <c r="H335" i="7"/>
  <c r="O334" i="7"/>
  <c r="H334" i="7"/>
  <c r="O333" i="7"/>
  <c r="H333" i="7"/>
  <c r="O332" i="7"/>
  <c r="H332" i="7"/>
  <c r="O331" i="7"/>
  <c r="H331" i="7"/>
  <c r="O330" i="7"/>
  <c r="H330" i="7"/>
  <c r="O329" i="7"/>
  <c r="H329" i="7"/>
  <c r="O328" i="7"/>
  <c r="O327" i="7"/>
  <c r="H327" i="7"/>
  <c r="O326" i="7"/>
  <c r="O325" i="7"/>
  <c r="H325" i="7"/>
  <c r="O324" i="7"/>
  <c r="O323" i="7"/>
  <c r="H323" i="7"/>
  <c r="O322" i="7"/>
  <c r="H322" i="7"/>
  <c r="O321" i="7"/>
  <c r="H321" i="7"/>
  <c r="O320" i="7"/>
  <c r="H320" i="7"/>
  <c r="O319" i="7"/>
  <c r="H319" i="7"/>
  <c r="O318" i="7"/>
  <c r="H318" i="7"/>
  <c r="O317" i="7"/>
  <c r="O316" i="7"/>
  <c r="H316" i="7"/>
  <c r="O315" i="7"/>
  <c r="H315" i="7"/>
  <c r="O314" i="7"/>
  <c r="H314" i="7"/>
  <c r="O313" i="7"/>
  <c r="O312" i="7"/>
  <c r="H312" i="7"/>
  <c r="O311" i="7"/>
  <c r="H311" i="7"/>
  <c r="F310" i="7"/>
  <c r="O310" i="7" s="1"/>
  <c r="O309" i="7"/>
  <c r="H309" i="7"/>
  <c r="O308" i="7"/>
  <c r="H308" i="7"/>
  <c r="O307" i="7"/>
  <c r="H307" i="7"/>
  <c r="O306" i="7"/>
  <c r="O305" i="7"/>
  <c r="H305" i="7"/>
  <c r="O304" i="7"/>
  <c r="H304" i="7"/>
  <c r="O303" i="7"/>
  <c r="H303" i="7"/>
  <c r="O302" i="7"/>
  <c r="H302" i="7"/>
  <c r="O301" i="7"/>
  <c r="H301" i="7"/>
  <c r="O300" i="7"/>
  <c r="H300" i="7"/>
  <c r="O299" i="7"/>
  <c r="H299" i="7"/>
  <c r="O298" i="7"/>
  <c r="H298" i="7"/>
  <c r="O297" i="7"/>
  <c r="H297" i="7"/>
  <c r="O296" i="7"/>
  <c r="O295" i="7"/>
  <c r="H295" i="7"/>
  <c r="O294" i="7"/>
  <c r="O293" i="7"/>
  <c r="O292" i="7"/>
  <c r="H292" i="7"/>
  <c r="O291" i="7"/>
  <c r="H291" i="7"/>
  <c r="O290" i="7"/>
  <c r="H290" i="7"/>
  <c r="O289" i="7"/>
  <c r="H289" i="7"/>
  <c r="O288" i="7"/>
  <c r="H288" i="7"/>
  <c r="O287" i="7"/>
  <c r="H287" i="7"/>
  <c r="O286" i="7"/>
  <c r="H286" i="7"/>
  <c r="O285" i="7"/>
  <c r="H285" i="7"/>
  <c r="O284" i="7"/>
  <c r="H284" i="7"/>
  <c r="O283" i="7"/>
  <c r="H283" i="7"/>
  <c r="O282" i="7"/>
  <c r="H282" i="7"/>
  <c r="O281" i="7"/>
  <c r="H281" i="7"/>
  <c r="O280" i="7"/>
  <c r="H280" i="7"/>
  <c r="O279" i="7"/>
  <c r="H279" i="7"/>
  <c r="O278" i="7"/>
  <c r="H278" i="7"/>
  <c r="O277" i="7"/>
  <c r="H277" i="7"/>
  <c r="O276" i="7"/>
  <c r="O275" i="7"/>
  <c r="H275" i="7"/>
  <c r="O274" i="7"/>
  <c r="O273" i="7"/>
  <c r="H273" i="7"/>
  <c r="O272" i="7"/>
  <c r="H272" i="7"/>
  <c r="O271" i="7"/>
  <c r="H271" i="7"/>
  <c r="O270" i="7"/>
  <c r="H270" i="7"/>
  <c r="O269" i="7"/>
  <c r="H269" i="7"/>
  <c r="O268" i="7"/>
  <c r="H268" i="7"/>
  <c r="O267" i="7"/>
  <c r="H267" i="7"/>
  <c r="O266" i="7"/>
  <c r="H266" i="7"/>
  <c r="O265" i="7"/>
  <c r="H265" i="7"/>
  <c r="O264" i="7"/>
  <c r="H264" i="7"/>
  <c r="O263" i="7"/>
  <c r="H263" i="7"/>
  <c r="O262" i="7"/>
  <c r="O261" i="7"/>
  <c r="H261" i="7"/>
  <c r="O260" i="7"/>
  <c r="H260" i="7"/>
  <c r="O259" i="7"/>
  <c r="H259" i="7"/>
  <c r="O258" i="7"/>
  <c r="H258" i="7"/>
  <c r="O257" i="7"/>
  <c r="H257" i="7"/>
  <c r="O256" i="7"/>
  <c r="H256" i="7"/>
  <c r="O255" i="7"/>
  <c r="H255" i="7"/>
  <c r="O254" i="7"/>
  <c r="H254" i="7"/>
  <c r="O253" i="7"/>
  <c r="H253" i="7"/>
  <c r="O252" i="7"/>
  <c r="H252" i="7"/>
  <c r="O251" i="7"/>
  <c r="H251" i="7"/>
  <c r="O250" i="7"/>
  <c r="H250" i="7"/>
  <c r="O249" i="7"/>
  <c r="H249" i="7"/>
  <c r="O248" i="7"/>
  <c r="H248" i="7"/>
  <c r="O247" i="7"/>
  <c r="H247" i="7"/>
  <c r="O246" i="7"/>
  <c r="H246" i="7"/>
  <c r="O245" i="7"/>
  <c r="H245" i="7"/>
  <c r="O244" i="7"/>
  <c r="H244" i="7"/>
  <c r="O243" i="7"/>
  <c r="H243" i="7"/>
  <c r="O242" i="7"/>
  <c r="H242" i="7"/>
  <c r="O241" i="7"/>
  <c r="H241" i="7"/>
  <c r="O240" i="7"/>
  <c r="H240" i="7"/>
  <c r="O239" i="7"/>
  <c r="H239" i="7"/>
  <c r="O238" i="7"/>
  <c r="H238" i="7"/>
  <c r="O237" i="7"/>
  <c r="H237" i="7"/>
  <c r="O236" i="7"/>
  <c r="H236" i="7"/>
  <c r="O235" i="7"/>
  <c r="H235" i="7"/>
  <c r="O234" i="7"/>
  <c r="H234" i="7"/>
  <c r="O233" i="7"/>
  <c r="H233" i="7"/>
  <c r="O232" i="7"/>
  <c r="H232" i="7"/>
  <c r="O231" i="7"/>
  <c r="H231" i="7"/>
  <c r="O230" i="7"/>
  <c r="H230" i="7"/>
  <c r="O229" i="7"/>
  <c r="O228" i="7"/>
  <c r="H228" i="7"/>
  <c r="O227" i="7"/>
  <c r="O226" i="7"/>
  <c r="H226" i="7"/>
  <c r="O225" i="7"/>
  <c r="H225" i="7"/>
  <c r="O224" i="7"/>
  <c r="H224" i="7"/>
  <c r="O223" i="7"/>
  <c r="H223" i="7"/>
  <c r="O222" i="7"/>
  <c r="H222" i="7"/>
  <c r="O221" i="7"/>
  <c r="H221" i="7"/>
  <c r="O220" i="7"/>
  <c r="H220" i="7"/>
  <c r="O219" i="7"/>
  <c r="H219" i="7"/>
  <c r="O218" i="7"/>
  <c r="H218" i="7"/>
  <c r="O217" i="7"/>
  <c r="H217" i="7"/>
  <c r="O216" i="7"/>
  <c r="H216" i="7"/>
  <c r="O215" i="7"/>
  <c r="H215" i="7"/>
  <c r="O214" i="7"/>
  <c r="H214" i="7"/>
  <c r="O213" i="7"/>
  <c r="H213" i="7"/>
  <c r="O212" i="7"/>
  <c r="H212" i="7"/>
  <c r="O211" i="7"/>
  <c r="H211" i="7"/>
  <c r="O210" i="7"/>
  <c r="H210" i="7"/>
  <c r="O209" i="7"/>
  <c r="H209" i="7"/>
  <c r="O208" i="7"/>
  <c r="H208" i="7"/>
  <c r="O207" i="7"/>
  <c r="H207" i="7"/>
  <c r="O206" i="7"/>
  <c r="H206" i="7"/>
  <c r="O205" i="7"/>
  <c r="H205" i="7"/>
  <c r="O204" i="7"/>
  <c r="H204" i="7"/>
  <c r="O203" i="7"/>
  <c r="H203" i="7"/>
  <c r="O202" i="7"/>
  <c r="H202" i="7"/>
  <c r="O201" i="7"/>
  <c r="H201" i="7"/>
  <c r="O200" i="7"/>
  <c r="H200" i="7"/>
  <c r="O199" i="7"/>
  <c r="H199" i="7"/>
  <c r="O198" i="7"/>
  <c r="H198" i="7"/>
  <c r="O197" i="7"/>
  <c r="H197" i="7"/>
  <c r="O196" i="7"/>
  <c r="H196" i="7"/>
  <c r="O195" i="7"/>
  <c r="H195" i="7"/>
  <c r="O194" i="7"/>
  <c r="H194" i="7"/>
  <c r="O193" i="7"/>
  <c r="H193" i="7"/>
  <c r="O192" i="7"/>
  <c r="H192" i="7"/>
  <c r="O191" i="7"/>
  <c r="H191" i="7"/>
  <c r="O190" i="7"/>
  <c r="H190" i="7"/>
  <c r="O189" i="7"/>
  <c r="H189" i="7"/>
  <c r="O188" i="7"/>
  <c r="H188" i="7"/>
  <c r="O187" i="7"/>
  <c r="O186" i="7"/>
  <c r="H186" i="7"/>
  <c r="O185" i="7"/>
  <c r="H185" i="7"/>
  <c r="O184" i="7"/>
  <c r="H184" i="7"/>
  <c r="O183" i="7"/>
  <c r="H183" i="7"/>
  <c r="O182" i="7"/>
  <c r="H182" i="7"/>
  <c r="O181" i="7"/>
  <c r="H181" i="7"/>
  <c r="O180" i="7"/>
  <c r="H180" i="7"/>
  <c r="O179" i="7"/>
  <c r="H179" i="7"/>
  <c r="O178" i="7"/>
  <c r="H178" i="7"/>
  <c r="O177" i="7"/>
  <c r="H177" i="7"/>
  <c r="O176" i="7"/>
  <c r="H176" i="7"/>
  <c r="O175" i="7"/>
  <c r="H175" i="7"/>
  <c r="O174" i="7"/>
  <c r="H174" i="7"/>
  <c r="O173" i="7"/>
  <c r="H173" i="7"/>
  <c r="O172" i="7"/>
  <c r="H172" i="7"/>
  <c r="O171" i="7"/>
  <c r="H171" i="7"/>
  <c r="O170" i="7"/>
  <c r="H170" i="7"/>
  <c r="O169" i="7"/>
  <c r="H169" i="7"/>
  <c r="O168" i="7"/>
  <c r="H168" i="7"/>
  <c r="O167" i="7"/>
  <c r="H167" i="7"/>
  <c r="O166" i="7"/>
  <c r="H166" i="7"/>
  <c r="O165" i="7"/>
  <c r="H165" i="7"/>
  <c r="O164" i="7"/>
  <c r="H164" i="7"/>
  <c r="O163" i="7"/>
  <c r="H163" i="7"/>
  <c r="O162" i="7"/>
  <c r="H162" i="7"/>
  <c r="O161" i="7"/>
  <c r="H161" i="7"/>
  <c r="O160" i="7"/>
  <c r="H160" i="7"/>
  <c r="O159" i="7"/>
  <c r="H159" i="7"/>
  <c r="O158" i="7"/>
  <c r="H158" i="7"/>
  <c r="O157" i="7"/>
  <c r="H157" i="7"/>
  <c r="O156" i="7"/>
  <c r="H156" i="7"/>
  <c r="O155" i="7"/>
  <c r="H155" i="7"/>
  <c r="O154" i="7"/>
  <c r="H154" i="7"/>
  <c r="O153" i="7"/>
  <c r="H153" i="7"/>
  <c r="O152" i="7"/>
  <c r="H152" i="7"/>
  <c r="O151" i="7"/>
  <c r="H151" i="7"/>
  <c r="O150" i="7"/>
  <c r="H150" i="7"/>
  <c r="O149" i="7"/>
  <c r="H149" i="7"/>
  <c r="O148" i="7"/>
  <c r="O147" i="7"/>
  <c r="H147" i="7"/>
  <c r="O146" i="7"/>
  <c r="H146" i="7"/>
  <c r="O145" i="7"/>
  <c r="H145" i="7"/>
  <c r="O144" i="7"/>
  <c r="H144" i="7"/>
  <c r="O143" i="7"/>
  <c r="H143" i="7"/>
  <c r="O142" i="7"/>
  <c r="H142" i="7"/>
  <c r="O141" i="7"/>
  <c r="H141" i="7"/>
  <c r="O140" i="7"/>
  <c r="H140" i="7"/>
  <c r="O139" i="7"/>
  <c r="H139" i="7"/>
  <c r="O138" i="7"/>
  <c r="H138" i="7"/>
  <c r="O137" i="7"/>
  <c r="H137" i="7"/>
  <c r="O136" i="7"/>
  <c r="H136" i="7"/>
  <c r="O135" i="7"/>
  <c r="H135" i="7"/>
  <c r="O134" i="7"/>
  <c r="H134" i="7"/>
  <c r="O133" i="7"/>
  <c r="H133" i="7"/>
  <c r="O132" i="7"/>
  <c r="H132" i="7"/>
  <c r="O131" i="7"/>
  <c r="H131" i="7"/>
  <c r="O130" i="7"/>
  <c r="H130" i="7"/>
  <c r="O129" i="7"/>
  <c r="H129" i="7"/>
  <c r="O128" i="7"/>
  <c r="H128" i="7"/>
  <c r="O127" i="7"/>
  <c r="H127" i="7"/>
  <c r="O126" i="7"/>
  <c r="H126" i="7"/>
  <c r="O125" i="7"/>
  <c r="H125" i="7"/>
  <c r="O124" i="7"/>
  <c r="H124" i="7"/>
  <c r="O123" i="7"/>
  <c r="H123" i="7"/>
  <c r="O122" i="7"/>
  <c r="H122" i="7"/>
  <c r="O121" i="7"/>
  <c r="H121" i="7"/>
  <c r="O120" i="7"/>
  <c r="H120" i="7"/>
  <c r="O119" i="7"/>
  <c r="H119" i="7"/>
  <c r="O118" i="7"/>
  <c r="H118" i="7"/>
  <c r="O117" i="7"/>
  <c r="H117" i="7"/>
  <c r="O116" i="7"/>
  <c r="H116" i="7"/>
  <c r="O115" i="7"/>
  <c r="H115" i="7"/>
  <c r="O114" i="7"/>
  <c r="H114" i="7"/>
  <c r="O113" i="7"/>
  <c r="H113" i="7"/>
  <c r="O112" i="7"/>
  <c r="H112" i="7"/>
  <c r="O111" i="7"/>
  <c r="H111" i="7"/>
  <c r="O110" i="7"/>
  <c r="H110" i="7"/>
  <c r="O109" i="7"/>
  <c r="O108" i="7"/>
  <c r="H108" i="7"/>
  <c r="O107" i="7"/>
  <c r="O106" i="7"/>
  <c r="H106" i="7"/>
  <c r="O105" i="7"/>
  <c r="H105" i="7"/>
  <c r="O104" i="7"/>
  <c r="H104" i="7"/>
  <c r="O103" i="7"/>
  <c r="H103" i="7"/>
  <c r="O102" i="7"/>
  <c r="H102" i="7"/>
  <c r="O101" i="7"/>
  <c r="H101" i="7"/>
  <c r="O100" i="7"/>
  <c r="H100" i="7"/>
  <c r="O99" i="7"/>
  <c r="H99" i="7"/>
  <c r="O98" i="7"/>
  <c r="H98" i="7"/>
  <c r="O97" i="7"/>
  <c r="H97" i="7"/>
  <c r="O96" i="7"/>
  <c r="O95" i="7"/>
  <c r="H95" i="7"/>
  <c r="O94" i="7"/>
  <c r="H94" i="7"/>
  <c r="O93" i="7"/>
  <c r="H93" i="7"/>
  <c r="O92" i="7"/>
  <c r="H92" i="7"/>
  <c r="O91" i="7"/>
  <c r="H91" i="7"/>
  <c r="O90" i="7"/>
  <c r="H90" i="7"/>
  <c r="O89" i="7"/>
  <c r="H89" i="7"/>
  <c r="O88" i="7"/>
  <c r="H88" i="7"/>
  <c r="O87" i="7"/>
  <c r="H87" i="7"/>
  <c r="O86" i="7"/>
  <c r="H86" i="7"/>
  <c r="O85" i="7"/>
  <c r="H85" i="7"/>
  <c r="O84" i="7"/>
  <c r="H84" i="7"/>
  <c r="O83" i="7"/>
  <c r="H83" i="7"/>
  <c r="O82" i="7"/>
  <c r="H82" i="7"/>
  <c r="O81" i="7"/>
  <c r="H81" i="7"/>
  <c r="O80" i="7"/>
  <c r="H80" i="7"/>
  <c r="O79" i="7"/>
  <c r="H79" i="7"/>
  <c r="O78" i="7"/>
  <c r="H78" i="7"/>
  <c r="O77" i="7"/>
  <c r="H77" i="7"/>
  <c r="O76" i="7"/>
  <c r="H76" i="7"/>
  <c r="O75" i="7"/>
  <c r="H75" i="7"/>
  <c r="O74" i="7"/>
  <c r="H74" i="7"/>
  <c r="O73" i="7"/>
  <c r="H73" i="7"/>
  <c r="O72" i="7"/>
  <c r="H72" i="7"/>
  <c r="O71" i="7"/>
  <c r="H71" i="7"/>
  <c r="O70" i="7"/>
  <c r="H70" i="7"/>
  <c r="O69" i="7"/>
  <c r="H69" i="7"/>
  <c r="O68" i="7"/>
  <c r="O67" i="7"/>
  <c r="O66" i="7"/>
  <c r="H66" i="7"/>
  <c r="O65" i="7"/>
  <c r="H65" i="7"/>
  <c r="O64" i="7"/>
  <c r="H64" i="7"/>
  <c r="O63" i="7"/>
  <c r="H63" i="7"/>
  <c r="O62" i="7"/>
  <c r="H62" i="7"/>
  <c r="O61" i="7"/>
  <c r="O60" i="7"/>
  <c r="H60" i="7"/>
  <c r="O59" i="7"/>
  <c r="H59" i="7"/>
  <c r="O58" i="7"/>
  <c r="H58" i="7"/>
  <c r="O57" i="7"/>
  <c r="H57" i="7"/>
  <c r="O56" i="7"/>
  <c r="H56" i="7"/>
  <c r="O55" i="7"/>
  <c r="H55" i="7"/>
  <c r="O54" i="7"/>
  <c r="H54" i="7"/>
  <c r="O53" i="7"/>
  <c r="O52" i="7"/>
  <c r="O51" i="7"/>
  <c r="H51" i="7"/>
  <c r="O50" i="7"/>
  <c r="O49" i="7"/>
  <c r="H49" i="7"/>
  <c r="O48" i="7"/>
  <c r="H48" i="7"/>
  <c r="O47" i="7"/>
  <c r="H47" i="7"/>
  <c r="O46" i="7"/>
  <c r="H46" i="7"/>
  <c r="O45" i="7"/>
  <c r="H45" i="7"/>
  <c r="O44" i="7"/>
  <c r="H44" i="7"/>
  <c r="O43" i="7"/>
  <c r="H43" i="7"/>
  <c r="O42" i="7"/>
  <c r="O41" i="7"/>
  <c r="H41" i="7"/>
  <c r="O40" i="7"/>
  <c r="H40" i="7"/>
  <c r="O39" i="7"/>
  <c r="H39" i="7"/>
  <c r="O38" i="7"/>
  <c r="O37" i="7"/>
  <c r="H37" i="7"/>
  <c r="O36" i="7"/>
  <c r="H36" i="7"/>
  <c r="O35" i="7"/>
  <c r="H35" i="7"/>
  <c r="O34" i="7"/>
  <c r="H34" i="7"/>
  <c r="O33" i="7"/>
  <c r="H33" i="7"/>
  <c r="O32" i="7"/>
  <c r="H32" i="7"/>
  <c r="O31" i="7"/>
  <c r="H31" i="7"/>
  <c r="O30" i="7"/>
  <c r="O29" i="7"/>
  <c r="H29" i="7"/>
  <c r="O28" i="7"/>
  <c r="H28" i="7"/>
  <c r="O27" i="7"/>
  <c r="O26" i="7"/>
  <c r="H26" i="7"/>
  <c r="O25" i="7"/>
  <c r="H25" i="7"/>
  <c r="O24" i="7"/>
  <c r="H24" i="7"/>
  <c r="O23" i="7"/>
  <c r="H23" i="7"/>
  <c r="O22" i="7"/>
  <c r="H22" i="7"/>
  <c r="O21" i="7"/>
  <c r="H21" i="7"/>
  <c r="O20" i="7"/>
  <c r="H20" i="7"/>
  <c r="O19" i="7"/>
  <c r="H19" i="7"/>
  <c r="O18" i="7"/>
  <c r="H18" i="7"/>
  <c r="O17" i="7"/>
  <c r="H17" i="7"/>
  <c r="O16" i="7"/>
  <c r="H16" i="7"/>
  <c r="O15" i="7"/>
  <c r="H15" i="7"/>
  <c r="O14" i="7"/>
  <c r="H14" i="7"/>
  <c r="F8" i="7"/>
  <c r="E8" i="7"/>
  <c r="D8" i="7"/>
  <c r="G8" i="7" s="1"/>
  <c r="F5" i="7"/>
  <c r="E5" i="7"/>
  <c r="D5" i="7"/>
  <c r="K51" i="4"/>
  <c r="J51" i="4"/>
  <c r="H51" i="4"/>
  <c r="G51" i="4"/>
  <c r="I51" i="4" s="1"/>
  <c r="K50" i="4"/>
  <c r="J50" i="4"/>
  <c r="I50" i="4"/>
  <c r="K49" i="4"/>
  <c r="J49" i="4"/>
  <c r="I49" i="4"/>
  <c r="K48" i="4"/>
  <c r="J48" i="4"/>
  <c r="I48" i="4"/>
  <c r="K47" i="4"/>
  <c r="J47" i="4"/>
  <c r="I47" i="4"/>
  <c r="K46" i="4"/>
  <c r="J46" i="4"/>
  <c r="G46" i="4"/>
  <c r="I46" i="4" s="1"/>
  <c r="K45" i="4"/>
  <c r="J45" i="4"/>
  <c r="G45" i="4"/>
  <c r="I45" i="4" s="1"/>
  <c r="K44" i="4"/>
  <c r="J44" i="4"/>
  <c r="I44" i="4"/>
  <c r="K43" i="4"/>
  <c r="J43" i="4"/>
  <c r="G43" i="4"/>
  <c r="I43" i="4" s="1"/>
  <c r="K42" i="4"/>
  <c r="J42" i="4"/>
  <c r="I42" i="4"/>
  <c r="K41" i="4"/>
  <c r="J41" i="4"/>
  <c r="I41" i="4"/>
  <c r="K40" i="4"/>
  <c r="J40" i="4"/>
  <c r="I40" i="4"/>
  <c r="K39" i="4"/>
  <c r="J39" i="4"/>
  <c r="I39" i="4"/>
  <c r="K38" i="4"/>
  <c r="J38" i="4"/>
  <c r="I38" i="4"/>
  <c r="K37" i="4"/>
  <c r="J37" i="4"/>
  <c r="I37" i="4"/>
  <c r="K36" i="4"/>
  <c r="J36" i="4"/>
  <c r="I36" i="4"/>
  <c r="K35" i="4"/>
  <c r="J35" i="4"/>
  <c r="I35" i="4"/>
  <c r="K34" i="4"/>
  <c r="J34" i="4"/>
  <c r="I34" i="4"/>
  <c r="K33" i="4"/>
  <c r="J33" i="4"/>
  <c r="G33" i="4"/>
  <c r="I33" i="4" s="1"/>
  <c r="K32" i="4"/>
  <c r="J32" i="4"/>
  <c r="G32" i="4"/>
  <c r="I32" i="4" s="1"/>
  <c r="K31" i="4"/>
  <c r="J31" i="4"/>
  <c r="I31" i="4"/>
  <c r="K30" i="4"/>
  <c r="J30" i="4"/>
  <c r="G30" i="4"/>
  <c r="I30" i="4" s="1"/>
  <c r="K29" i="4"/>
  <c r="J29" i="4"/>
  <c r="G29" i="4"/>
  <c r="I29" i="4" s="1"/>
  <c r="K28" i="4"/>
  <c r="J28" i="4"/>
  <c r="G28" i="4"/>
  <c r="I28" i="4" s="1"/>
  <c r="K27" i="4"/>
  <c r="J27" i="4"/>
  <c r="G27" i="4"/>
  <c r="I27" i="4" s="1"/>
  <c r="K26" i="4"/>
  <c r="J26" i="4"/>
  <c r="G26" i="4"/>
  <c r="I26" i="4" s="1"/>
  <c r="K25" i="4"/>
  <c r="J25" i="4"/>
  <c r="G25" i="4"/>
  <c r="I25" i="4" s="1"/>
  <c r="K24" i="4"/>
  <c r="J24" i="4"/>
  <c r="G24" i="4"/>
  <c r="I24" i="4" s="1"/>
  <c r="K23" i="4"/>
  <c r="J23" i="4"/>
  <c r="I23" i="4"/>
  <c r="K22" i="4"/>
  <c r="J22" i="4"/>
  <c r="I22" i="4"/>
  <c r="K21" i="4"/>
  <c r="J21" i="4"/>
  <c r="I21" i="4"/>
  <c r="K20" i="4"/>
  <c r="J20" i="4"/>
  <c r="I20" i="4"/>
  <c r="K19" i="4"/>
  <c r="J19" i="4"/>
  <c r="G19" i="4"/>
  <c r="I19" i="4" s="1"/>
  <c r="K18" i="4"/>
  <c r="J18" i="4"/>
  <c r="H18" i="4"/>
  <c r="G18" i="4"/>
  <c r="I18" i="4" s="1"/>
  <c r="K17" i="4"/>
  <c r="J17" i="4"/>
  <c r="H17" i="4"/>
  <c r="I17" i="4" s="1"/>
  <c r="K16" i="4"/>
  <c r="J16" i="4"/>
  <c r="I16" i="4"/>
  <c r="K15" i="4"/>
  <c r="J15" i="4"/>
  <c r="I15" i="4"/>
  <c r="K14" i="4"/>
  <c r="J14" i="4"/>
  <c r="G14" i="4"/>
  <c r="I14" i="4" s="1"/>
  <c r="K13" i="4"/>
  <c r="J13" i="4"/>
  <c r="H13" i="4"/>
  <c r="K12" i="4"/>
  <c r="J12" i="4"/>
  <c r="I12" i="4"/>
  <c r="K11" i="4"/>
  <c r="J11" i="4"/>
  <c r="I11" i="4"/>
  <c r="K10" i="4"/>
  <c r="J10" i="4"/>
  <c r="I10" i="4"/>
  <c r="K9" i="4"/>
  <c r="J9" i="4"/>
  <c r="I9" i="4"/>
  <c r="K8" i="4"/>
  <c r="J8" i="4"/>
  <c r="I8" i="4"/>
  <c r="K7" i="4"/>
  <c r="J7" i="4"/>
  <c r="I7" i="4"/>
  <c r="K6" i="4"/>
  <c r="J6" i="4"/>
  <c r="G6" i="4"/>
  <c r="K5" i="4"/>
  <c r="J5" i="4"/>
  <c r="I5" i="4"/>
  <c r="K4" i="4"/>
  <c r="J4" i="4"/>
  <c r="I4" i="4"/>
  <c r="K3" i="4"/>
  <c r="J3" i="4"/>
  <c r="I3" i="4"/>
  <c r="K2" i="4"/>
  <c r="J2" i="4"/>
  <c r="I2" i="4"/>
  <c r="M36" i="2"/>
  <c r="C36" i="2"/>
  <c r="M35" i="2"/>
  <c r="O29" i="2"/>
  <c r="K29" i="2"/>
  <c r="J29" i="2"/>
  <c r="I29" i="2"/>
  <c r="H29" i="2"/>
  <c r="G29" i="2"/>
  <c r="F29" i="2"/>
  <c r="E29" i="2"/>
  <c r="M29" i="2" s="1"/>
  <c r="D29" i="2"/>
  <c r="L29" i="2" s="1"/>
  <c r="O28" i="2"/>
  <c r="K28" i="2"/>
  <c r="K30" i="2" s="1"/>
  <c r="J28" i="2"/>
  <c r="J30" i="2" s="1"/>
  <c r="I28" i="2"/>
  <c r="I30" i="2" s="1"/>
  <c r="H28" i="2"/>
  <c r="H30" i="2" s="1"/>
  <c r="G28" i="2"/>
  <c r="G30" i="2" s="1"/>
  <c r="F28" i="2"/>
  <c r="F30" i="2" s="1"/>
  <c r="E28" i="2"/>
  <c r="D28" i="2"/>
  <c r="O25" i="2"/>
  <c r="K25" i="2"/>
  <c r="J25" i="2"/>
  <c r="I25" i="2"/>
  <c r="H25" i="2"/>
  <c r="G25" i="2"/>
  <c r="F25" i="2"/>
  <c r="E25" i="2"/>
  <c r="M25" i="2" s="1"/>
  <c r="D25" i="2"/>
  <c r="L25" i="2" s="1"/>
  <c r="O24" i="2"/>
  <c r="K24" i="2"/>
  <c r="J24" i="2"/>
  <c r="I24" i="2"/>
  <c r="H24" i="2"/>
  <c r="G24" i="2"/>
  <c r="F24" i="2"/>
  <c r="E24" i="2"/>
  <c r="M24" i="2" s="1"/>
  <c r="D24" i="2"/>
  <c r="L24" i="2" s="1"/>
  <c r="O23" i="2"/>
  <c r="K23" i="2"/>
  <c r="J23" i="2"/>
  <c r="I23" i="2"/>
  <c r="H23" i="2"/>
  <c r="G23" i="2"/>
  <c r="F23" i="2"/>
  <c r="E23" i="2"/>
  <c r="M23" i="2" s="1"/>
  <c r="D23" i="2"/>
  <c r="L23" i="2" s="1"/>
  <c r="O22" i="2"/>
  <c r="K22" i="2"/>
  <c r="J22" i="2"/>
  <c r="I22" i="2"/>
  <c r="H22" i="2"/>
  <c r="G22" i="2"/>
  <c r="F22" i="2"/>
  <c r="E22" i="2"/>
  <c r="M22" i="2" s="1"/>
  <c r="D22" i="2"/>
  <c r="L22" i="2" s="1"/>
  <c r="O21" i="2"/>
  <c r="K21" i="2"/>
  <c r="J21" i="2"/>
  <c r="I21" i="2"/>
  <c r="H21" i="2"/>
  <c r="G21" i="2"/>
  <c r="F21" i="2"/>
  <c r="E21" i="2"/>
  <c r="M21" i="2" s="1"/>
  <c r="D21" i="2"/>
  <c r="L21" i="2" s="1"/>
  <c r="O20" i="2"/>
  <c r="K20" i="2"/>
  <c r="J20" i="2"/>
  <c r="I20" i="2"/>
  <c r="H20" i="2"/>
  <c r="G20" i="2"/>
  <c r="F20" i="2"/>
  <c r="E20" i="2"/>
  <c r="M20" i="2" s="1"/>
  <c r="D20" i="2"/>
  <c r="L20" i="2" s="1"/>
  <c r="O19" i="2"/>
  <c r="K19" i="2"/>
  <c r="J19" i="2"/>
  <c r="I19" i="2"/>
  <c r="H19" i="2"/>
  <c r="G19" i="2"/>
  <c r="F19" i="2"/>
  <c r="E19" i="2"/>
  <c r="M19" i="2" s="1"/>
  <c r="D19" i="2"/>
  <c r="L19" i="2" s="1"/>
  <c r="O18" i="2"/>
  <c r="K18" i="2"/>
  <c r="J18" i="2"/>
  <c r="I18" i="2"/>
  <c r="H18" i="2"/>
  <c r="G18" i="2"/>
  <c r="F18" i="2"/>
  <c r="E18" i="2"/>
  <c r="M18" i="2" s="1"/>
  <c r="D18" i="2"/>
  <c r="L18" i="2" s="1"/>
  <c r="O17" i="2"/>
  <c r="K17" i="2"/>
  <c r="K26" i="2" s="1"/>
  <c r="J17" i="2"/>
  <c r="J26" i="2" s="1"/>
  <c r="I17" i="2"/>
  <c r="I26" i="2" s="1"/>
  <c r="H17" i="2"/>
  <c r="H26" i="2" s="1"/>
  <c r="G17" i="2"/>
  <c r="G26" i="2" s="1"/>
  <c r="F17" i="2"/>
  <c r="F26" i="2" s="1"/>
  <c r="E17" i="2"/>
  <c r="D17" i="2"/>
  <c r="O14" i="2"/>
  <c r="K14" i="2"/>
  <c r="J14" i="2"/>
  <c r="I14" i="2"/>
  <c r="H14" i="2"/>
  <c r="G14" i="2"/>
  <c r="F14" i="2"/>
  <c r="E14" i="2"/>
  <c r="M14" i="2" s="1"/>
  <c r="D14" i="2"/>
  <c r="L14" i="2" s="1"/>
  <c r="O13" i="2"/>
  <c r="K13" i="2"/>
  <c r="J13" i="2"/>
  <c r="I13" i="2"/>
  <c r="H13" i="2"/>
  <c r="G13" i="2"/>
  <c r="F13" i="2"/>
  <c r="E13" i="2"/>
  <c r="M13" i="2" s="1"/>
  <c r="D13" i="2"/>
  <c r="L13" i="2" s="1"/>
  <c r="O12" i="2"/>
  <c r="K12" i="2"/>
  <c r="J12" i="2"/>
  <c r="I12" i="2"/>
  <c r="H12" i="2"/>
  <c r="G12" i="2"/>
  <c r="F12" i="2"/>
  <c r="E12" i="2"/>
  <c r="M12" i="2" s="1"/>
  <c r="D12" i="2"/>
  <c r="L12" i="2" s="1"/>
  <c r="O11" i="2"/>
  <c r="K11" i="2"/>
  <c r="J11" i="2"/>
  <c r="I11" i="2"/>
  <c r="H11" i="2"/>
  <c r="G11" i="2"/>
  <c r="F11" i="2"/>
  <c r="E11" i="2"/>
  <c r="M11" i="2" s="1"/>
  <c r="D11" i="2"/>
  <c r="L11" i="2" s="1"/>
  <c r="O10" i="2"/>
  <c r="K10" i="2"/>
  <c r="J10" i="2"/>
  <c r="I10" i="2"/>
  <c r="H10" i="2"/>
  <c r="G10" i="2"/>
  <c r="F10" i="2"/>
  <c r="E10" i="2"/>
  <c r="M10" i="2" s="1"/>
  <c r="D10" i="2"/>
  <c r="L10" i="2" s="1"/>
  <c r="O9" i="2"/>
  <c r="K9" i="2"/>
  <c r="J9" i="2"/>
  <c r="I9" i="2"/>
  <c r="H9" i="2"/>
  <c r="G9" i="2"/>
  <c r="F9" i="2"/>
  <c r="E9" i="2"/>
  <c r="M9" i="2" s="1"/>
  <c r="D9" i="2"/>
  <c r="L9" i="2" s="1"/>
  <c r="O8" i="2"/>
  <c r="K8" i="2"/>
  <c r="J8" i="2"/>
  <c r="I8" i="2"/>
  <c r="H8" i="2"/>
  <c r="G8" i="2"/>
  <c r="F8" i="2"/>
  <c r="E8" i="2"/>
  <c r="M8" i="2" s="1"/>
  <c r="D8" i="2"/>
  <c r="L8" i="2" s="1"/>
  <c r="O7" i="2"/>
  <c r="K7" i="2"/>
  <c r="J7" i="2"/>
  <c r="I7" i="2"/>
  <c r="H7" i="2"/>
  <c r="H15" i="2" s="1"/>
  <c r="G7" i="2"/>
  <c r="G15" i="2" s="1"/>
  <c r="F7" i="2"/>
  <c r="F15" i="2" s="1"/>
  <c r="E7" i="2"/>
  <c r="D7" i="2"/>
  <c r="O6" i="2"/>
  <c r="K6" i="2"/>
  <c r="K15" i="2" s="1"/>
  <c r="J6" i="2"/>
  <c r="I6" i="2"/>
  <c r="H6" i="2"/>
  <c r="G6" i="2"/>
  <c r="F6" i="2"/>
  <c r="E6" i="2"/>
  <c r="D6" i="2"/>
  <c r="O5" i="2"/>
  <c r="K5" i="2"/>
  <c r="J5" i="2"/>
  <c r="I5" i="2"/>
  <c r="H5" i="2"/>
  <c r="G5" i="2"/>
  <c r="F5" i="2"/>
  <c r="E5" i="2"/>
  <c r="M5" i="2" s="1"/>
  <c r="D5" i="2"/>
  <c r="L5" i="2" s="1"/>
  <c r="A2" i="2"/>
  <c r="E60" i="1"/>
  <c r="E59" i="1"/>
  <c r="C59" i="1"/>
  <c r="E58" i="1"/>
  <c r="D58" i="1"/>
  <c r="E57" i="1"/>
  <c r="D57" i="1"/>
  <c r="E56" i="1"/>
  <c r="E55" i="1"/>
  <c r="E54" i="1"/>
  <c r="E53" i="1"/>
  <c r="E51" i="1"/>
  <c r="C50" i="1"/>
  <c r="E49" i="1"/>
  <c r="D49" i="1"/>
  <c r="F36" i="1"/>
  <c r="E31" i="1"/>
  <c r="D31" i="1"/>
  <c r="C31" i="1"/>
  <c r="F31" i="1" s="1"/>
  <c r="J31" i="1" s="1"/>
  <c r="E30" i="1"/>
  <c r="E32" i="1" s="1"/>
  <c r="D30" i="1"/>
  <c r="D32" i="1" s="1"/>
  <c r="C30" i="1"/>
  <c r="E18" i="1"/>
  <c r="D18" i="1"/>
  <c r="C18" i="1"/>
  <c r="E17" i="1"/>
  <c r="D17" i="1"/>
  <c r="C17" i="1"/>
  <c r="B9" i="1"/>
  <c r="B8" i="1"/>
  <c r="R29" i="3"/>
  <c r="P29" i="3"/>
  <c r="O29" i="3"/>
  <c r="M29" i="3"/>
  <c r="K29" i="3"/>
  <c r="J29" i="3"/>
  <c r="H29" i="3"/>
  <c r="F29" i="3"/>
  <c r="E29" i="3"/>
  <c r="D29" i="3"/>
  <c r="G29" i="3" s="1"/>
  <c r="R28" i="3"/>
  <c r="R30" i="3" s="1"/>
  <c r="P28" i="3"/>
  <c r="P30" i="3" s="1"/>
  <c r="O28" i="3"/>
  <c r="O30" i="3" s="1"/>
  <c r="M28" i="3"/>
  <c r="M30" i="3" s="1"/>
  <c r="K28" i="3"/>
  <c r="K30" i="3" s="1"/>
  <c r="J28" i="3"/>
  <c r="J30" i="3" s="1"/>
  <c r="H28" i="3"/>
  <c r="H30" i="3" s="1"/>
  <c r="F28" i="3"/>
  <c r="F30" i="3" s="1"/>
  <c r="E28" i="3"/>
  <c r="E30" i="3" s="1"/>
  <c r="D28" i="3"/>
  <c r="R25" i="3"/>
  <c r="P25" i="3"/>
  <c r="O25" i="3"/>
  <c r="M25" i="3"/>
  <c r="K25" i="3"/>
  <c r="J25" i="3"/>
  <c r="H25" i="3"/>
  <c r="F25" i="3"/>
  <c r="E25" i="3"/>
  <c r="D25" i="3"/>
  <c r="G25" i="3" s="1"/>
  <c r="R24" i="3"/>
  <c r="P24" i="3"/>
  <c r="O24" i="3"/>
  <c r="M24" i="3"/>
  <c r="K24" i="3"/>
  <c r="J24" i="3"/>
  <c r="H24" i="3"/>
  <c r="F24" i="3"/>
  <c r="E24" i="3"/>
  <c r="D24" i="3"/>
  <c r="G24" i="3" s="1"/>
  <c r="R23" i="3"/>
  <c r="P23" i="3"/>
  <c r="O23" i="3"/>
  <c r="M23" i="3"/>
  <c r="K23" i="3"/>
  <c r="J23" i="3"/>
  <c r="H23" i="3"/>
  <c r="F23" i="3"/>
  <c r="E23" i="3"/>
  <c r="D23" i="3"/>
  <c r="G23" i="3" s="1"/>
  <c r="R22" i="3"/>
  <c r="P22" i="3"/>
  <c r="O22" i="3"/>
  <c r="M22" i="3"/>
  <c r="K22" i="3"/>
  <c r="J22" i="3"/>
  <c r="H22" i="3"/>
  <c r="F22" i="3"/>
  <c r="E22" i="3"/>
  <c r="D22" i="3"/>
  <c r="G22" i="3" s="1"/>
  <c r="R21" i="3"/>
  <c r="P21" i="3"/>
  <c r="O21" i="3"/>
  <c r="M21" i="3"/>
  <c r="K21" i="3"/>
  <c r="J21" i="3"/>
  <c r="H21" i="3"/>
  <c r="F21" i="3"/>
  <c r="E21" i="3"/>
  <c r="D21" i="3"/>
  <c r="G21" i="3" s="1"/>
  <c r="R20" i="3"/>
  <c r="P20" i="3"/>
  <c r="O20" i="3"/>
  <c r="M20" i="3"/>
  <c r="K20" i="3"/>
  <c r="J20" i="3"/>
  <c r="H20" i="3"/>
  <c r="F20" i="3"/>
  <c r="E20" i="3"/>
  <c r="D20" i="3"/>
  <c r="G20" i="3" s="1"/>
  <c r="R19" i="3"/>
  <c r="P19" i="3"/>
  <c r="O19" i="3"/>
  <c r="M19" i="3"/>
  <c r="K19" i="3"/>
  <c r="J19" i="3"/>
  <c r="H19" i="3"/>
  <c r="F19" i="3"/>
  <c r="E19" i="3"/>
  <c r="D19" i="3"/>
  <c r="G19" i="3" s="1"/>
  <c r="R18" i="3"/>
  <c r="P18" i="3"/>
  <c r="O18" i="3"/>
  <c r="M18" i="3"/>
  <c r="K18" i="3"/>
  <c r="J18" i="3"/>
  <c r="H18" i="3"/>
  <c r="F18" i="3"/>
  <c r="E18" i="3"/>
  <c r="D18" i="3"/>
  <c r="G18" i="3" s="1"/>
  <c r="R17" i="3"/>
  <c r="R26" i="3" s="1"/>
  <c r="P17" i="3"/>
  <c r="P26" i="3" s="1"/>
  <c r="O17" i="3"/>
  <c r="O26" i="3" s="1"/>
  <c r="M17" i="3"/>
  <c r="M26" i="3" s="1"/>
  <c r="K17" i="3"/>
  <c r="K26" i="3" s="1"/>
  <c r="J17" i="3"/>
  <c r="J26" i="3" s="1"/>
  <c r="H17" i="3"/>
  <c r="H26" i="3" s="1"/>
  <c r="F17" i="3"/>
  <c r="F26" i="3" s="1"/>
  <c r="E17" i="3"/>
  <c r="E26" i="3" s="1"/>
  <c r="D17" i="3"/>
  <c r="R14" i="3"/>
  <c r="P14" i="3"/>
  <c r="O14" i="3"/>
  <c r="M14" i="3"/>
  <c r="K14" i="3"/>
  <c r="J14" i="3"/>
  <c r="H14" i="3"/>
  <c r="F14" i="3"/>
  <c r="E14" i="3"/>
  <c r="D14" i="3"/>
  <c r="G14" i="3" s="1"/>
  <c r="R13" i="3"/>
  <c r="P13" i="3"/>
  <c r="O13" i="3"/>
  <c r="M13" i="3"/>
  <c r="K13" i="3"/>
  <c r="J13" i="3"/>
  <c r="H13" i="3"/>
  <c r="F13" i="3"/>
  <c r="E13" i="3"/>
  <c r="D13" i="3"/>
  <c r="G13" i="3" s="1"/>
  <c r="R12" i="3"/>
  <c r="P12" i="3"/>
  <c r="O12" i="3"/>
  <c r="M12" i="3"/>
  <c r="K12" i="3"/>
  <c r="J12" i="3"/>
  <c r="H12" i="3"/>
  <c r="F12" i="3"/>
  <c r="E12" i="3"/>
  <c r="D12" i="3"/>
  <c r="G12" i="3" s="1"/>
  <c r="R11" i="3"/>
  <c r="P11" i="3"/>
  <c r="O11" i="3"/>
  <c r="M11" i="3"/>
  <c r="K11" i="3"/>
  <c r="J11" i="3"/>
  <c r="H11" i="3"/>
  <c r="F11" i="3"/>
  <c r="E11" i="3"/>
  <c r="D11" i="3"/>
  <c r="G11" i="3" s="1"/>
  <c r="R10" i="3"/>
  <c r="P10" i="3"/>
  <c r="O10" i="3"/>
  <c r="M10" i="3"/>
  <c r="K10" i="3"/>
  <c r="J10" i="3"/>
  <c r="H10" i="3"/>
  <c r="F10" i="3"/>
  <c r="E10" i="3"/>
  <c r="D10" i="3"/>
  <c r="G10" i="3" s="1"/>
  <c r="R9" i="3"/>
  <c r="P9" i="3"/>
  <c r="O9" i="3"/>
  <c r="M9" i="3"/>
  <c r="K9" i="3"/>
  <c r="J9" i="3"/>
  <c r="H9" i="3"/>
  <c r="F9" i="3"/>
  <c r="E9" i="3"/>
  <c r="D9" i="3"/>
  <c r="G9" i="3" s="1"/>
  <c r="R8" i="3"/>
  <c r="P8" i="3"/>
  <c r="O8" i="3"/>
  <c r="M8" i="3"/>
  <c r="K8" i="3"/>
  <c r="J8" i="3"/>
  <c r="H8" i="3"/>
  <c r="F8" i="3"/>
  <c r="E8" i="3"/>
  <c r="D8" i="3"/>
  <c r="G8" i="3" s="1"/>
  <c r="R7" i="3"/>
  <c r="P7" i="3"/>
  <c r="O7" i="3"/>
  <c r="M7" i="3"/>
  <c r="K7" i="3"/>
  <c r="J7" i="3"/>
  <c r="H7" i="3"/>
  <c r="F7" i="3"/>
  <c r="E7" i="3"/>
  <c r="D7" i="3"/>
  <c r="G7" i="3" s="1"/>
  <c r="R6" i="3"/>
  <c r="P6" i="3"/>
  <c r="O6" i="3"/>
  <c r="M6" i="3"/>
  <c r="K6" i="3"/>
  <c r="J6" i="3"/>
  <c r="H6" i="3"/>
  <c r="F6" i="3"/>
  <c r="E6" i="3"/>
  <c r="D6" i="3"/>
  <c r="G6" i="3" s="1"/>
  <c r="R5" i="3"/>
  <c r="R15" i="3" s="1"/>
  <c r="P5" i="3"/>
  <c r="P15" i="3" s="1"/>
  <c r="O5" i="3"/>
  <c r="O15" i="3" s="1"/>
  <c r="M5" i="3"/>
  <c r="M15" i="3" s="1"/>
  <c r="K5" i="3"/>
  <c r="K15" i="3" s="1"/>
  <c r="J5" i="3"/>
  <c r="J15" i="3" s="1"/>
  <c r="H5" i="3"/>
  <c r="H15" i="3" s="1"/>
  <c r="F5" i="3"/>
  <c r="F15" i="3" s="1"/>
  <c r="E5" i="3"/>
  <c r="E15" i="3" s="1"/>
  <c r="D5" i="3"/>
  <c r="AK157" i="12" l="1"/>
  <c r="AE157" i="12"/>
  <c r="AC157" i="12"/>
  <c r="W157" i="12"/>
  <c r="U157" i="12"/>
  <c r="E16" i="9"/>
  <c r="C17" i="9"/>
  <c r="C16" i="9"/>
  <c r="D15" i="9"/>
  <c r="E12" i="9"/>
  <c r="D12" i="9"/>
  <c r="C12" i="9"/>
  <c r="E17" i="9"/>
  <c r="D16" i="9"/>
  <c r="D17" i="9"/>
  <c r="E15" i="9"/>
  <c r="C15" i="9"/>
  <c r="E14" i="9"/>
  <c r="D14" i="9"/>
  <c r="C14" i="9"/>
  <c r="E13" i="9"/>
  <c r="D13" i="9"/>
  <c r="C13" i="9"/>
  <c r="G5" i="7"/>
  <c r="I13" i="4"/>
  <c r="H52" i="4"/>
  <c r="I6" i="4"/>
  <c r="G52" i="4"/>
  <c r="Q29" i="2"/>
  <c r="P29" i="2"/>
  <c r="R29" i="2" s="1"/>
  <c r="S29" i="2"/>
  <c r="E52" i="1"/>
  <c r="P28" i="2"/>
  <c r="P30" i="2" s="1"/>
  <c r="Q28" i="2"/>
  <c r="Q30" i="2" s="1"/>
  <c r="M28" i="2"/>
  <c r="E30" i="2"/>
  <c r="L28" i="2"/>
  <c r="D30" i="2"/>
  <c r="Q25" i="2"/>
  <c r="P25" i="2"/>
  <c r="S25" i="2"/>
  <c r="E6" i="13"/>
  <c r="D60" i="1"/>
  <c r="R25" i="2"/>
  <c r="D6" i="13"/>
  <c r="Q24" i="2"/>
  <c r="S24" i="2" s="1"/>
  <c r="P24" i="2"/>
  <c r="R24" i="2" s="1"/>
  <c r="D59" i="1"/>
  <c r="F59" i="1" s="1"/>
  <c r="P23" i="2"/>
  <c r="R23" i="2" s="1"/>
  <c r="Q23" i="2"/>
  <c r="S23" i="2"/>
  <c r="D56" i="1"/>
  <c r="Q22" i="2"/>
  <c r="P22" i="2"/>
  <c r="R22" i="2" s="1"/>
  <c r="S22" i="2"/>
  <c r="D55" i="1"/>
  <c r="Q21" i="2"/>
  <c r="S21" i="2" s="1"/>
  <c r="P21" i="2"/>
  <c r="R21" i="2" s="1"/>
  <c r="D54" i="1"/>
  <c r="P20" i="2"/>
  <c r="R20" i="2" s="1"/>
  <c r="Q20" i="2"/>
  <c r="S20" i="2" s="1"/>
  <c r="D53" i="1"/>
  <c r="P19" i="2"/>
  <c r="R19" i="2" s="1"/>
  <c r="Q19" i="2"/>
  <c r="S19" i="2" s="1"/>
  <c r="D52" i="1"/>
  <c r="Q18" i="2"/>
  <c r="S18" i="2" s="1"/>
  <c r="P18" i="2"/>
  <c r="R18" i="2" s="1"/>
  <c r="D51" i="1"/>
  <c r="Q17" i="2"/>
  <c r="P17" i="2"/>
  <c r="E26" i="2"/>
  <c r="M17" i="2"/>
  <c r="D26" i="2"/>
  <c r="L17" i="2"/>
  <c r="P14" i="2"/>
  <c r="Q14" i="2"/>
  <c r="S14" i="2"/>
  <c r="E5" i="13"/>
  <c r="C60" i="1"/>
  <c r="F60" i="1" s="1"/>
  <c r="R14" i="2"/>
  <c r="D5" i="13"/>
  <c r="Q13" i="2"/>
  <c r="P13" i="2"/>
  <c r="R13" i="2" s="1"/>
  <c r="S13" i="2"/>
  <c r="C58" i="1"/>
  <c r="F58" i="1" s="1"/>
  <c r="P12" i="2"/>
  <c r="R12" i="2" s="1"/>
  <c r="Q12" i="2"/>
  <c r="S12" i="2" s="1"/>
  <c r="C57" i="1"/>
  <c r="F57" i="1" s="1"/>
  <c r="P11" i="2"/>
  <c r="R11" i="2" s="1"/>
  <c r="Q11" i="2"/>
  <c r="S11" i="2"/>
  <c r="C56" i="1"/>
  <c r="Q10" i="2"/>
  <c r="P10" i="2"/>
  <c r="R10" i="2" s="1"/>
  <c r="S10" i="2"/>
  <c r="C55" i="1"/>
  <c r="F55" i="1" s="1"/>
  <c r="Q9" i="2"/>
  <c r="P9" i="2"/>
  <c r="R9" i="2" s="1"/>
  <c r="S9" i="2"/>
  <c r="C54" i="1"/>
  <c r="F54" i="1" s="1"/>
  <c r="P8" i="2"/>
  <c r="R8" i="2" s="1"/>
  <c r="Q8" i="2"/>
  <c r="S8" i="2" s="1"/>
  <c r="C53" i="1"/>
  <c r="F53" i="1" s="1"/>
  <c r="Q7" i="2"/>
  <c r="P7" i="2"/>
  <c r="M7" i="2"/>
  <c r="E15" i="2"/>
  <c r="L7" i="2"/>
  <c r="D15" i="2"/>
  <c r="Q6" i="2"/>
  <c r="P6" i="2"/>
  <c r="L6" i="2"/>
  <c r="R6" i="2" s="1"/>
  <c r="J15" i="2"/>
  <c r="M6" i="2"/>
  <c r="I15" i="2"/>
  <c r="P5" i="2"/>
  <c r="Q5" i="2"/>
  <c r="S5" i="2"/>
  <c r="C49" i="1"/>
  <c r="R5" i="2"/>
  <c r="L15" i="2"/>
  <c r="C32" i="1"/>
  <c r="F32" i="1" s="1"/>
  <c r="F30" i="1"/>
  <c r="F18" i="1"/>
  <c r="J18" i="1" s="1"/>
  <c r="E19" i="1"/>
  <c r="D19" i="1"/>
  <c r="C19" i="1"/>
  <c r="F17" i="1"/>
  <c r="I29" i="3"/>
  <c r="L29" i="3"/>
  <c r="D30" i="3"/>
  <c r="G28" i="3"/>
  <c r="I25" i="3"/>
  <c r="L25" i="3"/>
  <c r="I24" i="3"/>
  <c r="L24" i="3"/>
  <c r="I23" i="3"/>
  <c r="L23" i="3"/>
  <c r="I22" i="3"/>
  <c r="L22" i="3"/>
  <c r="I21" i="3"/>
  <c r="L21" i="3"/>
  <c r="I20" i="3"/>
  <c r="L20" i="3"/>
  <c r="I19" i="3"/>
  <c r="L19" i="3"/>
  <c r="I18" i="3"/>
  <c r="L18" i="3"/>
  <c r="D26" i="3"/>
  <c r="G17" i="3"/>
  <c r="I14" i="3"/>
  <c r="L14" i="3"/>
  <c r="I13" i="3"/>
  <c r="L13" i="3"/>
  <c r="I12" i="3"/>
  <c r="L12" i="3"/>
  <c r="I11" i="3"/>
  <c r="L11" i="3"/>
  <c r="I10" i="3"/>
  <c r="L10" i="3"/>
  <c r="I9" i="3"/>
  <c r="L9" i="3"/>
  <c r="I8" i="3"/>
  <c r="L8" i="3"/>
  <c r="L7" i="3"/>
  <c r="I7" i="3"/>
  <c r="I6" i="3"/>
  <c r="L6" i="3"/>
  <c r="D15" i="3"/>
  <c r="G5" i="3"/>
  <c r="S28" i="2" l="1"/>
  <c r="S30" i="2" s="1"/>
  <c r="M30" i="2"/>
  <c r="E22" i="1"/>
  <c r="E50" i="1"/>
  <c r="E61" i="1" s="1"/>
  <c r="R28" i="2"/>
  <c r="R30" i="2" s="1"/>
  <c r="L30" i="2"/>
  <c r="H6" i="13"/>
  <c r="K6" i="13"/>
  <c r="S17" i="2"/>
  <c r="S26" i="2" s="1"/>
  <c r="M26" i="2"/>
  <c r="D22" i="1"/>
  <c r="D50" i="1"/>
  <c r="R17" i="2"/>
  <c r="R26" i="2" s="1"/>
  <c r="L26" i="2"/>
  <c r="H5" i="13"/>
  <c r="K5" i="13"/>
  <c r="S7" i="2"/>
  <c r="C52" i="1"/>
  <c r="F52" i="1" s="1"/>
  <c r="S6" i="2"/>
  <c r="S15" i="2" s="1"/>
  <c r="S32" i="2" s="1"/>
  <c r="C51" i="1"/>
  <c r="F49" i="1"/>
  <c r="J32" i="1"/>
  <c r="J30" i="1"/>
  <c r="J17" i="1"/>
  <c r="F19" i="1"/>
  <c r="B4" i="1"/>
  <c r="N29" i="3"/>
  <c r="Q29" i="3"/>
  <c r="S29" i="3" s="1"/>
  <c r="I28" i="3"/>
  <c r="I30" i="3" s="1"/>
  <c r="L28" i="3"/>
  <c r="G30" i="3"/>
  <c r="N25" i="3"/>
  <c r="Q25" i="3"/>
  <c r="S25" i="3" s="1"/>
  <c r="N24" i="3"/>
  <c r="Q24" i="3"/>
  <c r="S24" i="3" s="1"/>
  <c r="N23" i="3"/>
  <c r="Q23" i="3"/>
  <c r="S23" i="3" s="1"/>
  <c r="N22" i="3"/>
  <c r="Q22" i="3"/>
  <c r="S22" i="3" s="1"/>
  <c r="N21" i="3"/>
  <c r="Q21" i="3"/>
  <c r="S21" i="3" s="1"/>
  <c r="N20" i="3"/>
  <c r="Q20" i="3"/>
  <c r="S20" i="3" s="1"/>
  <c r="N19" i="3"/>
  <c r="Q19" i="3"/>
  <c r="S19" i="3" s="1"/>
  <c r="N18" i="3"/>
  <c r="Q18" i="3"/>
  <c r="S18" i="3" s="1"/>
  <c r="I17" i="3"/>
  <c r="I26" i="3" s="1"/>
  <c r="L17" i="3"/>
  <c r="G26" i="3"/>
  <c r="N14" i="3"/>
  <c r="Q14" i="3"/>
  <c r="S14" i="3" s="1"/>
  <c r="N13" i="3"/>
  <c r="Q13" i="3"/>
  <c r="S13" i="3" s="1"/>
  <c r="N12" i="3"/>
  <c r="Q12" i="3"/>
  <c r="S12" i="3" s="1"/>
  <c r="N11" i="3"/>
  <c r="Q11" i="3"/>
  <c r="S11" i="3" s="1"/>
  <c r="N10" i="3"/>
  <c r="Q10" i="3"/>
  <c r="S10" i="3" s="1"/>
  <c r="N9" i="3"/>
  <c r="Q9" i="3"/>
  <c r="S9" i="3" s="1"/>
  <c r="Q8" i="3"/>
  <c r="S8" i="3" s="1"/>
  <c r="N8" i="3"/>
  <c r="Q7" i="3"/>
  <c r="S7" i="3" s="1"/>
  <c r="N7" i="3"/>
  <c r="Q6" i="3"/>
  <c r="S6" i="3" s="1"/>
  <c r="N6" i="3"/>
  <c r="L5" i="3"/>
  <c r="G15" i="3"/>
  <c r="I5" i="3"/>
  <c r="I15" i="3" s="1"/>
  <c r="E18" i="9"/>
  <c r="D18" i="9"/>
  <c r="C18" i="9"/>
  <c r="Q26" i="2"/>
  <c r="P26" i="2"/>
  <c r="F56" i="1"/>
  <c r="R7" i="2"/>
  <c r="R15" i="2" s="1"/>
  <c r="P15" i="2"/>
  <c r="P32" i="2" s="1"/>
  <c r="Q15" i="2"/>
  <c r="Q32" i="2" s="1"/>
  <c r="M15" i="2"/>
  <c r="C22" i="1"/>
  <c r="E26" i="1" l="1"/>
  <c r="E23" i="1"/>
  <c r="E27" i="1" s="1"/>
  <c r="F6" i="7"/>
  <c r="F7" i="7" s="1"/>
  <c r="D26" i="1"/>
  <c r="D23" i="1"/>
  <c r="D27" i="1" s="1"/>
  <c r="E6" i="7"/>
  <c r="E7" i="7" s="1"/>
  <c r="D61" i="1"/>
  <c r="F50" i="1"/>
  <c r="F61" i="1" s="1"/>
  <c r="J61" i="1" s="1"/>
  <c r="N28" i="3"/>
  <c r="N30" i="3" s="1"/>
  <c r="Q28" i="3"/>
  <c r="L30" i="3"/>
  <c r="N17" i="3"/>
  <c r="N26" i="3" s="1"/>
  <c r="Q17" i="3"/>
  <c r="L26" i="3"/>
  <c r="Q5" i="3"/>
  <c r="L15" i="3"/>
  <c r="N5" i="3"/>
  <c r="N15" i="3" s="1"/>
  <c r="D6" i="7"/>
  <c r="C23" i="1"/>
  <c r="F22" i="1"/>
  <c r="J22" i="1" s="1"/>
  <c r="C26" i="1"/>
  <c r="F26" i="1" s="1"/>
  <c r="L32" i="2"/>
  <c r="R32" i="2"/>
  <c r="M32" i="2"/>
  <c r="F51" i="1"/>
  <c r="C61" i="1"/>
  <c r="F10" i="7" l="1"/>
  <c r="F9" i="7"/>
  <c r="E10" i="7"/>
  <c r="E9" i="7"/>
  <c r="S28" i="3"/>
  <c r="S30" i="3" s="1"/>
  <c r="Q30" i="3"/>
  <c r="S17" i="3"/>
  <c r="S26" i="3" s="1"/>
  <c r="Q26" i="3"/>
  <c r="Q15" i="3"/>
  <c r="S5" i="3"/>
  <c r="S15" i="3" s="1"/>
  <c r="D7" i="7"/>
  <c r="G6" i="7"/>
  <c r="C27" i="1"/>
  <c r="F27" i="1" s="1"/>
  <c r="F23" i="1"/>
  <c r="F35" i="1"/>
  <c r="B7" i="1"/>
  <c r="J26" i="1"/>
  <c r="M33" i="2"/>
  <c r="M34" i="2"/>
  <c r="D10" i="7" l="1"/>
  <c r="D9" i="7"/>
  <c r="G9" i="7" s="1"/>
  <c r="G7" i="7"/>
  <c r="G10" i="7" s="1"/>
  <c r="F37" i="1"/>
  <c r="J27" i="1"/>
  <c r="J23" i="1"/>
  <c r="F40" i="1"/>
  <c r="B6" i="1" l="1"/>
  <c r="F41" i="1"/>
  <c r="F42" i="1" l="1"/>
  <c r="F45" i="1"/>
  <c r="B5" i="1" l="1"/>
  <c r="J42" i="1"/>
  <c r="J45" i="1"/>
</calcChain>
</file>

<file path=xl/sharedStrings.xml><?xml version="1.0" encoding="utf-8"?>
<sst xmlns="http://schemas.openxmlformats.org/spreadsheetml/2006/main" count="6150" uniqueCount="1347">
  <si>
    <t>Rekon Stok Kayu In-House, 14 sampai 24 Okt 2026 (m³)</t>
  </si>
  <si>
    <t>Jenis</t>
  </si>
  <si>
    <t>Tebal (cm)</t>
  </si>
  <si>
    <t>Mutasi mulai</t>
  </si>
  <si>
    <t>Saldo awal 14 Okt</t>
  </si>
  <si>
    <t>15 sampai 17 Okt</t>
  </si>
  <si>
    <t>18 sampai 21 Okt</t>
  </si>
  <si>
    <t>22 sampai 24 Okt</t>
  </si>
  <si>
    <t>Masuk</t>
  </si>
  <si>
    <t>Keluar</t>
  </si>
  <si>
    <t>Catatan</t>
  </si>
  <si>
    <t>Laporan</t>
  </si>
  <si>
    <t>Selisih</t>
  </si>
  <si>
    <t>Teak</t>
  </si>
  <si>
    <t>Total Teak</t>
  </si>
  <si>
    <t>Sungkai</t>
  </si>
  <si>
    <t>Total Sungkai</t>
  </si>
  <si>
    <t>Pine</t>
  </si>
  <si>
    <t>Total Pine</t>
  </si>
  <si>
    <t>Laporan stok Operation: Wood Stock Inhouse Reports (per Oct 24, 2026).xlsx di 2026\ARSIP\NEW MANAGER\DONALD\02. WOOD, sheet Per Oct 17, 2026 (Count tanggal 14 Okt dan Balance 17 Okt), Per Oct 21, 2026 (Balance 21 Okt) dan Per Oct 24, 2026 (Count 24 Okt). Laporan yang sama dalam PDF: Wood Stock (17 Oct 2026).pdf di 2026\01 INPUT\KAYU\2026-10-17 dan Wood Stock (24 Oct 2026).pdf di folder DONALD tersebut.</t>
  </si>
  <si>
    <t>Catatan harian: 08_Teak Wood 2026 - By Nuriyanti (1).xlsx, 08_Sungkai Wood 2026 - By Nuriyanti.xlsx dan 08_Pinus Wood 2026.xlsx di 2026\ARSIP\NEW MANAGER\DONALD\02. WOOD, sheet Incomming dan sheet Out per tanggal.</t>
  </si>
  <si>
    <t>Keluar Pinus mulai 14 Okt karena laporan stok memasukkan pemakaian Pinus 14 Okt di kolom Out.</t>
  </si>
  <si>
    <t>In-House Wood Control</t>
  </si>
  <si>
    <t>Conclusion</t>
  </si>
  <si>
    <t>Input</t>
  </si>
  <si>
    <t>Basis</t>
  </si>
  <si>
    <t>Wood benchmark per chair (m³)</t>
  </si>
  <si>
    <t>Assumption</t>
  </si>
  <si>
    <t>Seater-only counted as (chair)</t>
  </si>
  <si>
    <t>Description</t>
  </si>
  <si>
    <t>Total</t>
  </si>
  <si>
    <t>Zero check</t>
  </si>
  <si>
    <t>1. Wood received</t>
  </si>
  <si>
    <t>Volume (m³)</t>
  </si>
  <si>
    <t>Data</t>
  </si>
  <si>
    <t>Value (Rp)</t>
  </si>
  <si>
    <t>Average price per m³ (Rp)</t>
  </si>
  <si>
    <t>Calculated</t>
  </si>
  <si>
    <t>2. Board stock (book)</t>
  </si>
  <si>
    <t>3. Wood used</t>
  </si>
  <si>
    <t>4. Chairs</t>
  </si>
  <si>
    <t>Chairs cut</t>
  </si>
  <si>
    <t>Shipped to Plant 1</t>
  </si>
  <si>
    <t>WIP in-house</t>
  </si>
  <si>
    <t>5. Per chair</t>
  </si>
  <si>
    <t>Wood used per chair (m³)</t>
  </si>
  <si>
    <t>Benchmark per chair (m³)</t>
  </si>
  <si>
    <t>Wood cost per chair (Rp)</t>
  </si>
  <si>
    <t>6. Wood inventory (Rp)</t>
  </si>
  <si>
    <t>Board stock</t>
  </si>
  <si>
    <t>Total wood inventory</t>
  </si>
  <si>
    <t>7. Shipped to Plant 1 (Rp)</t>
  </si>
  <si>
    <t>8. Wood stock as of 24 Oct (m³)</t>
  </si>
  <si>
    <t>Thickness (cm)</t>
  </si>
  <si>
    <t>Board Stock by Thickness</t>
  </si>
  <si>
    <t>Wood Type</t>
  </si>
  <si>
    <t>Mov. From</t>
  </si>
  <si>
    <t>Opening Count 14-Oct-2026</t>
  </si>
  <si>
    <t>In</t>
  </si>
  <si>
    <t>Out</t>
  </si>
  <si>
    <t>Adj</t>
  </si>
  <si>
    <t>Book Balance</t>
  </si>
  <si>
    <t>Notes</t>
  </si>
  <si>
    <t>Latest Count Date</t>
  </si>
  <si>
    <t>Latest Count</t>
  </si>
  <si>
    <t>Variance (Book − Count)</t>
  </si>
  <si>
    <t>pcs</t>
  </si>
  <si>
    <t>m³</t>
  </si>
  <si>
    <t>Out 0.371 m³ exceeds count 0.351 m³. 1 pcs not yet measured.</t>
  </si>
  <si>
    <t>Grand Total</t>
  </si>
  <si>
    <t>Check</t>
  </si>
  <si>
    <t>Check vs SUMMARY</t>
  </si>
  <si>
    <t>Adjustment without reference</t>
  </si>
  <si>
    <t>Adjustment rows</t>
  </si>
  <si>
    <t>No.</t>
  </si>
  <si>
    <t>PO Date</t>
  </si>
  <si>
    <t>PO No.</t>
  </si>
  <si>
    <t>Form</t>
  </si>
  <si>
    <t>Supplier</t>
  </si>
  <si>
    <t>Price per m³ (Rp)</t>
  </si>
  <si>
    <t>Goods Status</t>
  </si>
  <si>
    <t>Payment Status</t>
  </si>
  <si>
    <t>Source</t>
  </si>
  <si>
    <t>Receipt No.</t>
  </si>
  <si>
    <t>Invoice No. (Accurate)</t>
  </si>
  <si>
    <t>Down Payment No.</t>
  </si>
  <si>
    <t>Payment No.</t>
  </si>
  <si>
    <t>PO251100011</t>
  </si>
  <si>
    <t>Board</t>
  </si>
  <si>
    <t>Jujur Jaya</t>
  </si>
  <si>
    <t>WOOD_PURCHASE TEAK row 5</t>
  </si>
  <si>
    <t>RI.2025.11.00009</t>
  </si>
  <si>
    <t>FB251100015</t>
  </si>
  <si>
    <t>No DP</t>
  </si>
  <si>
    <t>110203.2025.11.00028</t>
  </si>
  <si>
    <t>PO251100013</t>
  </si>
  <si>
    <t>WOOD_PURCHASE TEAK row 6</t>
  </si>
  <si>
    <t>RI.2025.12.00002</t>
  </si>
  <si>
    <t>FB251200006</t>
  </si>
  <si>
    <t>110203.2025.12.00046</t>
  </si>
  <si>
    <t>PO251100028</t>
  </si>
  <si>
    <t>Ariana</t>
  </si>
  <si>
    <t>WOOD_PURCHASE TEAK row 8</t>
  </si>
  <si>
    <t>RI.2025.11.00037</t>
  </si>
  <si>
    <t>FB251100047</t>
  </si>
  <si>
    <t>110101.2025.11.00113</t>
  </si>
  <si>
    <t>PO251200015</t>
  </si>
  <si>
    <t>WOOD_PURCHASE TEAK row 9</t>
  </si>
  <si>
    <t>RI.2025.12.00032</t>
  </si>
  <si>
    <t>FB251200045</t>
  </si>
  <si>
    <t>110101.2025.12.00112</t>
  </si>
  <si>
    <t>PO260100010</t>
  </si>
  <si>
    <t>WOOD_PURCHASE TEAK row 10</t>
  </si>
  <si>
    <t>RI.2026.01.00103, RI.2026.02.00061</t>
  </si>
  <si>
    <t>FB260100145, FB260200117</t>
  </si>
  <si>
    <t>110207.2026.01.00071, 110207.2026.03.00003</t>
  </si>
  <si>
    <t>PO260200002</t>
  </si>
  <si>
    <t>H. Tasmo - Koperasi Albarokah</t>
  </si>
  <si>
    <t>WOOD_PURCHASE TEAK row 21</t>
  </si>
  <si>
    <t>RI.2026.02.00013</t>
  </si>
  <si>
    <t>FB260200026</t>
  </si>
  <si>
    <t>110207.2026.02.00035</t>
  </si>
  <si>
    <t>PO260200015</t>
  </si>
  <si>
    <t>UD. Divky Wood</t>
  </si>
  <si>
    <t>WOOD_PURCHASE TEAK row 16</t>
  </si>
  <si>
    <t>RI.2026.02.00026</t>
  </si>
  <si>
    <t>FB260200041</t>
  </si>
  <si>
    <t>110207.2026.02.00057</t>
  </si>
  <si>
    <t>PO260200048</t>
  </si>
  <si>
    <t>WOOD_PURCHASE TEAK row 19</t>
  </si>
  <si>
    <t>RI.2026.02.00093</t>
  </si>
  <si>
    <t>FB260200152</t>
  </si>
  <si>
    <t>110207.2026.03.00004</t>
  </si>
  <si>
    <t>PO260300023</t>
  </si>
  <si>
    <t>WOOD_PURCHASE TEAK row 12</t>
  </si>
  <si>
    <t>RI.2026.03.00108</t>
  </si>
  <si>
    <t>FB260400068</t>
  </si>
  <si>
    <t>110207.2026.04.00025</t>
  </si>
  <si>
    <t>PO260300022</t>
  </si>
  <si>
    <t>WOOD_PURCHASE TEAK row 20</t>
  </si>
  <si>
    <t>RI.2026.04.00133</t>
  </si>
  <si>
    <t>FB260500046</t>
  </si>
  <si>
    <t>110207.2026.05.00057</t>
  </si>
  <si>
    <t>PO260400043</t>
  </si>
  <si>
    <t>WOOD_PURCHASE TEAK row 13</t>
  </si>
  <si>
    <t>RI.2026.04.00135</t>
  </si>
  <si>
    <t>FB260400192</t>
  </si>
  <si>
    <t>110207.2026.05.00079</t>
  </si>
  <si>
    <t>PO260400019</t>
  </si>
  <si>
    <t>WOOD_PURCHASE TEAK row 14</t>
  </si>
  <si>
    <t>RI.2026.04.00055</t>
  </si>
  <si>
    <t>FB260400108</t>
  </si>
  <si>
    <t>110207.2026.04.00045</t>
  </si>
  <si>
    <t>PO260400020</t>
  </si>
  <si>
    <t>WOOD_PURCHASE TEAK row 31</t>
  </si>
  <si>
    <t>RI.2026.05.00147</t>
  </si>
  <si>
    <t>FB260800145</t>
  </si>
  <si>
    <t>110207.2026.08.00090</t>
  </si>
  <si>
    <t>PO260400044</t>
  </si>
  <si>
    <t>WOOD_PURCHASE TEAK row 15</t>
  </si>
  <si>
    <t>RI.2026.04.00097</t>
  </si>
  <si>
    <t>FB260400155</t>
  </si>
  <si>
    <t>110207.2026.05.00028</t>
  </si>
  <si>
    <t>PO260500007</t>
  </si>
  <si>
    <t>WOOD_PURCHASE TEAK row 22</t>
  </si>
  <si>
    <t>RI.2026.05.00028</t>
  </si>
  <si>
    <t>FB260500045</t>
  </si>
  <si>
    <t>110207.2026.05.00043</t>
  </si>
  <si>
    <t>PO260600020</t>
  </si>
  <si>
    <t>WOOD_PURCHASE TEAK row 23</t>
  </si>
  <si>
    <t>RI.2026.06.00076</t>
  </si>
  <si>
    <t>FB260600090</t>
  </si>
  <si>
    <t>110207.2026.06.00026</t>
  </si>
  <si>
    <t>PO260500005</t>
  </si>
  <si>
    <t>WOOD_PURCHASE TEAK row 33</t>
  </si>
  <si>
    <t>RI.2026.07.00265</t>
  </si>
  <si>
    <t>FB260800173</t>
  </si>
  <si>
    <t>110207.2026.09.00038</t>
  </si>
  <si>
    <t>PO260600023</t>
  </si>
  <si>
    <t>Log</t>
  </si>
  <si>
    <t>WOOD_PURCHASE TEAK row 37</t>
  </si>
  <si>
    <t>RI.2026.07.00264</t>
  </si>
  <si>
    <t>FB260800171</t>
  </si>
  <si>
    <t>110207.2026.09.00066</t>
  </si>
  <si>
    <t>PO260600032</t>
  </si>
  <si>
    <t>WOOD_PURCHASE TEAK row 24</t>
  </si>
  <si>
    <t>RI.2026.06.00177</t>
  </si>
  <si>
    <t>FB260600207</t>
  </si>
  <si>
    <t>110207.2026.07.00036</t>
  </si>
  <si>
    <t>PO260600057</t>
  </si>
  <si>
    <t>WOOD_PURCHASE TEAK row 25</t>
  </si>
  <si>
    <t>RI.2026.06.00173</t>
  </si>
  <si>
    <t>FB260700033</t>
  </si>
  <si>
    <t>110207.2026.07.00004</t>
  </si>
  <si>
    <t>PO260600058</t>
  </si>
  <si>
    <t>WOOD_PURCHASE TEAK row 27</t>
  </si>
  <si>
    <t>RI.2026.07.00132</t>
  </si>
  <si>
    <t>FB260700146</t>
  </si>
  <si>
    <t>DP260700003</t>
  </si>
  <si>
    <t>110207.2026.07.00045</t>
  </si>
  <si>
    <t>PO260700013</t>
  </si>
  <si>
    <t>WOOD_PURCHASE TEAK row 26</t>
  </si>
  <si>
    <t>RI.2026.07.00200</t>
  </si>
  <si>
    <t>FB260700219</t>
  </si>
  <si>
    <t>DP260700006</t>
  </si>
  <si>
    <t>110207.2026.07.00076</t>
  </si>
  <si>
    <t>PO260700062</t>
  </si>
  <si>
    <t>WOOD_PURCHASE TEAK row 32</t>
  </si>
  <si>
    <t>RI.2026.08.00144</t>
  </si>
  <si>
    <t>FB260800175</t>
  </si>
  <si>
    <t>110207.2026.09.00007</t>
  </si>
  <si>
    <t>PO260700026</t>
  </si>
  <si>
    <t>WOOD_PURCHASE TEAK row 28</t>
  </si>
  <si>
    <t>RI.2026.07.00245</t>
  </si>
  <si>
    <t>FB260700275</t>
  </si>
  <si>
    <t>110207.2026.07.00102</t>
  </si>
  <si>
    <t>PO260700028</t>
  </si>
  <si>
    <t>WOOD_PURCHASE TEAK row 29</t>
  </si>
  <si>
    <t>RI.2026.07.00247</t>
  </si>
  <si>
    <t>FB260700281</t>
  </si>
  <si>
    <t>110207.2026.08.00035</t>
  </si>
  <si>
    <t>PO260700029</t>
  </si>
  <si>
    <t>WOOD_PURCHASE TEAK row 30</t>
  </si>
  <si>
    <t>RI.2026.07.00248</t>
  </si>
  <si>
    <t>FB260700283</t>
  </si>
  <si>
    <t>110207.2026.08.00062</t>
  </si>
  <si>
    <t>PO260700027</t>
  </si>
  <si>
    <t>WOOD_PURCHASE TEAK row 38</t>
  </si>
  <si>
    <t>RI.2026.08.00143</t>
  </si>
  <si>
    <t>FB260800174</t>
  </si>
  <si>
    <t>110207.2026.09.00098</t>
  </si>
  <si>
    <t>PO260700064</t>
  </si>
  <si>
    <t>WOOD_PURCHASE TEAK row 39</t>
  </si>
  <si>
    <t>RI.2026.08.00148</t>
  </si>
  <si>
    <t>FB260800178</t>
  </si>
  <si>
    <t>110207.2026.10.00053</t>
  </si>
  <si>
    <t>PO260700065</t>
  </si>
  <si>
    <t>WOOD_PURCHASE TEAK row 40</t>
  </si>
  <si>
    <t>RI.2026.09.00028</t>
  </si>
  <si>
    <t>FB260900030</t>
  </si>
  <si>
    <t>Unpaid</t>
  </si>
  <si>
    <t>PO260800002</t>
  </si>
  <si>
    <t>WOOD_PURCHASE TEAK row 17</t>
  </si>
  <si>
    <t>RI.2026.08.00034</t>
  </si>
  <si>
    <t>FB260800038</t>
  </si>
  <si>
    <t>110207.2026.08.00036</t>
  </si>
  <si>
    <t>PO260800022</t>
  </si>
  <si>
    <t>WOOD_PURCHASE TEAK row 41</t>
  </si>
  <si>
    <t>RI.2026.08.00147</t>
  </si>
  <si>
    <t>FB260800177</t>
  </si>
  <si>
    <t>110207.2026.10.00029</t>
  </si>
  <si>
    <t>PO260900004</t>
  </si>
  <si>
    <t>WOOD_PURCHASE TEAK row 42</t>
  </si>
  <si>
    <t>RI.2026.09.00029</t>
  </si>
  <si>
    <t>FB260900038</t>
  </si>
  <si>
    <t>PO260100007</t>
  </si>
  <si>
    <t>WOOD_PURCHASE SUNKAI row 5</t>
  </si>
  <si>
    <t>RI.2026.01.00031</t>
  </si>
  <si>
    <t>FB260100060</t>
  </si>
  <si>
    <t>110207.2026.01.00045</t>
  </si>
  <si>
    <t>PO260100033</t>
  </si>
  <si>
    <t>Iskandar</t>
  </si>
  <si>
    <t>WOOD_PURCHASE SUNKAI row 8</t>
  </si>
  <si>
    <t>RI.2026.01.00082</t>
  </si>
  <si>
    <t>FB260100127</t>
  </si>
  <si>
    <t>110207.2026.02.00010</t>
  </si>
  <si>
    <t>PO260200014</t>
  </si>
  <si>
    <t>WOOD_PURCHASE SUNKAI row 6</t>
  </si>
  <si>
    <t>RI.2026.02.00025</t>
  </si>
  <si>
    <t>FB260200040</t>
  </si>
  <si>
    <t>110207.2026.02.00056</t>
  </si>
  <si>
    <t>PO260300025</t>
  </si>
  <si>
    <t>CV. Indoraya</t>
  </si>
  <si>
    <t>WOOD_PURCHASE SUNKAI row 11</t>
  </si>
  <si>
    <t>RI.2026.04.00004</t>
  </si>
  <si>
    <t>FB260400047</t>
  </si>
  <si>
    <t>110101.2026.04.00047</t>
  </si>
  <si>
    <t>PO260400028</t>
  </si>
  <si>
    <t>WOOD_PURCHASE SUNKAI row 13</t>
  </si>
  <si>
    <t>RI.2026.04.00095</t>
  </si>
  <si>
    <t>FB260400153</t>
  </si>
  <si>
    <t>110207.2026.05.00011</t>
  </si>
  <si>
    <t>PO260400042</t>
  </si>
  <si>
    <t>WOOD_PURCHASE SUNKAI row 15</t>
  </si>
  <si>
    <t>RI.2026.04.00134</t>
  </si>
  <si>
    <t>FB260400191</t>
  </si>
  <si>
    <t>110207.2026.05.00060</t>
  </si>
  <si>
    <t>PO260400033</t>
  </si>
  <si>
    <t>WOOD_PURCHASE SUNKAI row 10</t>
  </si>
  <si>
    <t>RI.2026.04.00131</t>
  </si>
  <si>
    <t>FB260400189</t>
  </si>
  <si>
    <t>DP260400005</t>
  </si>
  <si>
    <t>110207.2026.05.00008</t>
  </si>
  <si>
    <t>PO260400029</t>
  </si>
  <si>
    <t>WOOD_PURCHASE SUNKAI row 14</t>
  </si>
  <si>
    <t>RI.2026.04.00136</t>
  </si>
  <si>
    <t>FB260500164</t>
  </si>
  <si>
    <t>110207.2026.06.00027</t>
  </si>
  <si>
    <t>PO260600021</t>
  </si>
  <si>
    <t>WOOD_PURCHASE SUNKAI row 16</t>
  </si>
  <si>
    <t>RI.2026.06.00179</t>
  </si>
  <si>
    <t>FB260700095</t>
  </si>
  <si>
    <t>DP260600002</t>
  </si>
  <si>
    <t>110207.2026.07.00046</t>
  </si>
  <si>
    <t>PO260600043</t>
  </si>
  <si>
    <t>WOOD_PURCHASE SUNKAI row 18</t>
  </si>
  <si>
    <t>RI.2026.08.00001</t>
  </si>
  <si>
    <t>FB260700279</t>
  </si>
  <si>
    <t>DP260600012</t>
  </si>
  <si>
    <t>110207.2026.08.00007</t>
  </si>
  <si>
    <t>PO260700024</t>
  </si>
  <si>
    <t>CV. Buana Putra Persada</t>
  </si>
  <si>
    <t>WOOD_PURCHASE SUNKAI row 20</t>
  </si>
  <si>
    <t>RI.2026.08.00160</t>
  </si>
  <si>
    <t>FB260800194</t>
  </si>
  <si>
    <t>DP260700004, DP260700011</t>
  </si>
  <si>
    <t>110207.2026.09.00006</t>
  </si>
  <si>
    <t>PO260800001</t>
  </si>
  <si>
    <t>WOOD_PURCHASE SUNKAI row 26</t>
  </si>
  <si>
    <t>RI.2026.09.00037</t>
  </si>
  <si>
    <t>FB260900046</t>
  </si>
  <si>
    <t>DP260800003, DP260800004</t>
  </si>
  <si>
    <t>110207.2026.09.00037</t>
  </si>
  <si>
    <t>PO260800003</t>
  </si>
  <si>
    <t>WOOD_PURCHASE SUNKAI row 23</t>
  </si>
  <si>
    <t>RI.2026.08.00146</t>
  </si>
  <si>
    <t>FB260800176</t>
  </si>
  <si>
    <t>110207.2026.10.00010</t>
  </si>
  <si>
    <t>PO260900015</t>
  </si>
  <si>
    <t>Accurate PO260900015</t>
  </si>
  <si>
    <t>RI.2026.09.00076</t>
  </si>
  <si>
    <t>FB260900098</t>
  </si>
  <si>
    <t>PO261000003</t>
  </si>
  <si>
    <t>PD. Jujur Jaya</t>
  </si>
  <si>
    <t>Accurate PO261000003</t>
  </si>
  <si>
    <t>RI.2026.10.00005</t>
  </si>
  <si>
    <t>FB261000008</t>
  </si>
  <si>
    <t>110207.2026.10.00030</t>
  </si>
  <si>
    <t>PO261000012</t>
  </si>
  <si>
    <t>Accurate PO261000012</t>
  </si>
  <si>
    <t>RI.2026.10.00022</t>
  </si>
  <si>
    <t>FB261000029</t>
  </si>
  <si>
    <t>PO261000009</t>
  </si>
  <si>
    <t>Afwoodz</t>
  </si>
  <si>
    <t>Accurate PO261000009</t>
  </si>
  <si>
    <t>RI.2026.10.00023</t>
  </si>
  <si>
    <t>FB261000030</t>
  </si>
  <si>
    <t>110207.2026.10.00052</t>
  </si>
  <si>
    <t>PO261000022 + PO261000024</t>
  </si>
  <si>
    <t>Accurate PO261000022, PO261000024</t>
  </si>
  <si>
    <t>Incomming 20-10-26 &amp; 23-10-26</t>
  </si>
  <si>
    <t>Date</t>
  </si>
  <si>
    <t>Qty (pcs)</t>
  </si>
  <si>
    <t>08_Teak Wood 2026 - By Nuriyanti (1).xlsx Incomming 20-10-26</t>
  </si>
  <si>
    <t>6 pcs without thickness; volume covers 195 pcs</t>
  </si>
  <si>
    <t>08_Teak Wood 2026 - By Nuriyanti (1).xlsx Incomming 23-10-26</t>
  </si>
  <si>
    <t>1 pcs without thickness; volume covers 114 pcs</t>
  </si>
  <si>
    <t>Tanggal PO</t>
  </si>
  <si>
    <t>No. PO</t>
  </si>
  <si>
    <t>Jenis Kayu</t>
  </si>
  <si>
    <t>Bentuk</t>
  </si>
  <si>
    <t>Nilai (Rp)</t>
  </si>
  <si>
    <t>Harga per m³ (Rp)</t>
  </si>
  <si>
    <t>Status Barang</t>
  </si>
  <si>
    <t>Status Bayar</t>
  </si>
  <si>
    <t>Sumber</t>
  </si>
  <si>
    <t>No. Penerimaan</t>
  </si>
  <si>
    <t>No. Faktur (Accurate)</t>
  </si>
  <si>
    <t>No. Uang Muka</t>
  </si>
  <si>
    <t>No. Pembayaran</t>
  </si>
  <si>
    <t>Wood OUT</t>
  </si>
  <si>
    <t>Wood received (m³)</t>
  </si>
  <si>
    <t>Stock balance (m³)</t>
  </si>
  <si>
    <t>Gross OUT (m³)</t>
  </si>
  <si>
    <t>Recorded cutting OUT (m³)</t>
  </si>
  <si>
    <t>Adjustment without cutting record (m³)</t>
  </si>
  <si>
    <t>Recorded percentage</t>
  </si>
  <si>
    <t>MO No.</t>
  </si>
  <si>
    <t>Customer</t>
  </si>
  <si>
    <t>Product</t>
  </si>
  <si>
    <t>Category</t>
  </si>
  <si>
    <t>Sample SPK</t>
  </si>
  <si>
    <t>Ref Adj</t>
  </si>
  <si>
    <t>Remaining Adj (m³)</t>
  </si>
  <si>
    <t>Adj Class</t>
  </si>
  <si>
    <t>096E/EVI/092025</t>
  </si>
  <si>
    <t>Rose Chair Teak Wood Seat</t>
  </si>
  <si>
    <t>Production</t>
  </si>
  <si>
    <t>TEAK_USAGE Mutation Teak row 6</t>
  </si>
  <si>
    <t>109E/EVI/112025</t>
  </si>
  <si>
    <t>TEAK_USAGE Mutation Teak row 7</t>
  </si>
  <si>
    <t>107E/EVI/112025</t>
  </si>
  <si>
    <t>Komodo &amp; strap chair</t>
  </si>
  <si>
    <t>TEAK_USAGE Mutation Teak row 8</t>
  </si>
  <si>
    <t>New Lego Chair Indoor Cushion</t>
  </si>
  <si>
    <t>TEAK_USAGE Mutation Teak row 9</t>
  </si>
  <si>
    <t>TEAK_USAGE Mutation Teak row 10</t>
  </si>
  <si>
    <t>Wishbone Chair Natural</t>
  </si>
  <si>
    <t>TEAK_USAGE Mutation Teak row 11</t>
  </si>
  <si>
    <t>Pumpkin Lantern (L)</t>
  </si>
  <si>
    <t>TEAK_USAGE Mutation Teak row 12</t>
  </si>
  <si>
    <t>Citrus Lounge Chair Teak</t>
  </si>
  <si>
    <t>TEAK_USAGE Mutation Teak row 13</t>
  </si>
  <si>
    <t>Mona Chair Teak with Cushion</t>
  </si>
  <si>
    <t>TEAK_USAGE Mutation Teak row 14</t>
  </si>
  <si>
    <t>TEAK_USAGE Mutation Teak row 15</t>
  </si>
  <si>
    <t>Manhattan Chair Teak Webbing Seater</t>
  </si>
  <si>
    <t>TEAK_USAGE Mutation Teak row 16</t>
  </si>
  <si>
    <t>TEAK_USAGE Mutation Teak row 17</t>
  </si>
  <si>
    <t>Provence Chair Teak with Cushion</t>
  </si>
  <si>
    <t>TEAK_USAGE Mutation Teak row 18</t>
  </si>
  <si>
    <t>Sample</t>
  </si>
  <si>
    <t>TEAK_USAGE Mutation Teak row 19</t>
  </si>
  <si>
    <t>TEAK_USAGE Mutation Teak row 20</t>
  </si>
  <si>
    <t>TEAK_USAGE Mutation Teak row 21</t>
  </si>
  <si>
    <t>Development</t>
  </si>
  <si>
    <t>TEAK_USAGE Mutation Teak row 22</t>
  </si>
  <si>
    <t>Flevo Counterstool</t>
  </si>
  <si>
    <t>TEAK_USAGE Mutation Teak row 23</t>
  </si>
  <si>
    <t>TEAK_USAGE Mutation Teak row 24</t>
  </si>
  <si>
    <t>TEAK_USAGE Mutation Teak row 25</t>
  </si>
  <si>
    <t>TEAK_USAGE Mutation Teak row 26</t>
  </si>
  <si>
    <t>TEAK_USAGE Mutation Teak row 27</t>
  </si>
  <si>
    <t>Baobab Dining Table D120</t>
  </si>
  <si>
    <t>TEAK_USAGE Mutation Teak row 28</t>
  </si>
  <si>
    <t>TEAK_USAGE Mutation Teak row 29</t>
  </si>
  <si>
    <t>TEAK_USAGE Mutation Teak row 30</t>
  </si>
  <si>
    <t>TEAK_USAGE Mutation Teak row 31</t>
  </si>
  <si>
    <t>Brazil Chair</t>
  </si>
  <si>
    <t>TEAK_USAGE Mutation Teak row 32</t>
  </si>
  <si>
    <t>126E/EVI/122025</t>
  </si>
  <si>
    <t>Acai Chair Teak with Peel Seater Cushion</t>
  </si>
  <si>
    <t>TEAK_USAGE Mutation Teak row 33</t>
  </si>
  <si>
    <t>TEAK_USAGE Mutation Teak row 34</t>
  </si>
  <si>
    <t>Petra Dining Table Teak with Wood Top D90</t>
  </si>
  <si>
    <t>TEAK_USAGE Mutation Teak row 35</t>
  </si>
  <si>
    <t>Shelby Chair Teak</t>
  </si>
  <si>
    <t>TEAK_USAGE Mutation Teak row 36</t>
  </si>
  <si>
    <t>TEAK_USAGE Mutation Teak row 37</t>
  </si>
  <si>
    <t>Prague Dining Rectangular 150</t>
  </si>
  <si>
    <t>TEAK_USAGE Mutation Teak row 38</t>
  </si>
  <si>
    <t>TEAK_USAGE Mutation Teak row 39</t>
  </si>
  <si>
    <t>TEAK_USAGE Mutation Teak row 40</t>
  </si>
  <si>
    <t>New Lego Sofa Indoor Cushion</t>
  </si>
  <si>
    <t>TEAK_USAGE Mutation Teak row 41</t>
  </si>
  <si>
    <t>TEAK_USAGE Mutation Teak row 42</t>
  </si>
  <si>
    <t>006E/EVI/012026</t>
  </si>
  <si>
    <t>Strap Dining Chair Light Brown Suede</t>
  </si>
  <si>
    <t>TEAK_USAGE Mutation Teak row 43</t>
  </si>
  <si>
    <t>TEAK_USAGE Mutation Teak row 44</t>
  </si>
  <si>
    <t>TEAK_USAGE Mutation Teak row 45</t>
  </si>
  <si>
    <t>TEAK_USAGE Mutation Teak row 46</t>
  </si>
  <si>
    <t>TEAK_USAGE Mutation Teak row 47</t>
  </si>
  <si>
    <t>Orchid Dining Table Teak with Wood Top D120</t>
  </si>
  <si>
    <t>TEAK_USAGE Mutation Teak row 48</t>
  </si>
  <si>
    <t>TEAK_USAGE Mutation Teak row 49</t>
  </si>
  <si>
    <t>TEAK_USAGE Mutation Teak row 50</t>
  </si>
  <si>
    <t>TEAK_USAGE Mutation Teak row 51</t>
  </si>
  <si>
    <t>TEAK_USAGE Mutation Teak row 52</t>
  </si>
  <si>
    <t>TEAK_USAGE Mutation Teak row 53</t>
  </si>
  <si>
    <t>Xavier DT</t>
  </si>
  <si>
    <t>TEAK_USAGE Mutation Teak row 54</t>
  </si>
  <si>
    <t>TEAK_USAGE Mutation Teak row 55</t>
  </si>
  <si>
    <t>TEAK_USAGE Mutation Teak row 56</t>
  </si>
  <si>
    <t>TEAK_USAGE Mutation Teak row 57</t>
  </si>
  <si>
    <t>TEAK_USAGE Mutation Teak row 58</t>
  </si>
  <si>
    <t>TEAK_USAGE Mutation Teak row 59</t>
  </si>
  <si>
    <t>TEAK_USAGE Mutation Teak row 60</t>
  </si>
  <si>
    <t>TEAK_USAGE Mutation Teak row 61</t>
  </si>
  <si>
    <t>TEAK_USAGE Mutation Teak row 62</t>
  </si>
  <si>
    <t>TEAK_USAGE Mutation Teak row 63</t>
  </si>
  <si>
    <t>TEAK_USAGE Mutation Teak row 64</t>
  </si>
  <si>
    <t>TEAK_USAGE Mutation Teak row 65</t>
  </si>
  <si>
    <t>TEAK_USAGE Mutation Teak row 66</t>
  </si>
  <si>
    <t>Erik Dining Table 180</t>
  </si>
  <si>
    <t>TEAK_USAGE Mutation Teak row 67</t>
  </si>
  <si>
    <t>TEAK_USAGE Mutation Teak row 68</t>
  </si>
  <si>
    <t>TEAK_USAGE Mutation Teak row 69</t>
  </si>
  <si>
    <t>115E-A/EVI/122025</t>
  </si>
  <si>
    <t>Tropez</t>
  </si>
  <si>
    <t>TEAK_USAGE Mutation Teak row 70</t>
  </si>
  <si>
    <t>115E-B/EVI/122025</t>
  </si>
  <si>
    <t>TEAK_USAGE Mutation Teak row 71</t>
  </si>
  <si>
    <t>TEAK_USAGE Mutation Teak row 72</t>
  </si>
  <si>
    <t>TEAK_USAGE Mutation Teak row 73</t>
  </si>
  <si>
    <t>TEAK_USAGE Mutation Teak row 74</t>
  </si>
  <si>
    <t>TEAK_USAGE Mutation Teak row 75</t>
  </si>
  <si>
    <t>TEAK_USAGE Mutation Teak row 76</t>
  </si>
  <si>
    <t>TEAK_USAGE Mutation Teak row 77</t>
  </si>
  <si>
    <t>TEAK_USAGE Mutation Teak row 78</t>
  </si>
  <si>
    <t>TEAK_USAGE Mutation Teak row 79</t>
  </si>
  <si>
    <t>022E/EVI/022026</t>
  </si>
  <si>
    <t>Provence Barstool</t>
  </si>
  <si>
    <t>TEAK_USAGE Mutation Teak row 80</t>
  </si>
  <si>
    <t>TEAK_USAGE Mutation Teak row 81</t>
  </si>
  <si>
    <t>TEAK_USAGE Mutation Teak row 82</t>
  </si>
  <si>
    <t>TEAK_USAGE Mutation Teak row 83</t>
  </si>
  <si>
    <t>TEAK_USAGE Mutation Teak row 84</t>
  </si>
  <si>
    <t>TEAK_USAGE Mutation Teak row 85</t>
  </si>
  <si>
    <t>TEAK_USAGE Mutation Teak row 86</t>
  </si>
  <si>
    <t>TEAK_USAGE Mutation Teak row 87</t>
  </si>
  <si>
    <t>TEAK_USAGE Mutation Teak row 88</t>
  </si>
  <si>
    <t>TEAK_USAGE Mutation Teak row 89</t>
  </si>
  <si>
    <t>TEAK_USAGE Mutation Teak row 90</t>
  </si>
  <si>
    <t>TEAK_USAGE Mutation Teak row 91</t>
  </si>
  <si>
    <t>009E/EVI/022026</t>
  </si>
  <si>
    <t>TEAK_USAGE Mutation Teak row 92</t>
  </si>
  <si>
    <t>TEAK_USAGE Mutation Teak row 93</t>
  </si>
  <si>
    <t>TEAK_USAGE Mutation Teak row 94</t>
  </si>
  <si>
    <t>TEAK_USAGE Mutation Teak row 95</t>
  </si>
  <si>
    <t>TEAK_USAGE Mutation Teak row 96</t>
  </si>
  <si>
    <t>TEAK_USAGE Mutation Teak row 97</t>
  </si>
  <si>
    <t>TEAK_USAGE Mutation Teak row 98</t>
  </si>
  <si>
    <t>TEAK_USAGE Mutation Teak row 99</t>
  </si>
  <si>
    <t>TEAK_USAGE Mutation Teak row 100</t>
  </si>
  <si>
    <t>TEAK_USAGE Mutation Teak row 101</t>
  </si>
  <si>
    <t>TEAK_USAGE Mutation Teak row 102</t>
  </si>
  <si>
    <t>TEAK_USAGE Mutation Teak row 103</t>
  </si>
  <si>
    <t>TEAK_USAGE Mutation Teak row 104</t>
  </si>
  <si>
    <t>TEAK_USAGE Mutation Teak row 105</t>
  </si>
  <si>
    <t>TEAK_USAGE Mutation Teak row 106</t>
  </si>
  <si>
    <t>036E/EVI/042026</t>
  </si>
  <si>
    <t>TEAK_USAGE Mutation Teak row 107</t>
  </si>
  <si>
    <t>032E/EVI/032026</t>
  </si>
  <si>
    <t>Provence Lounge Chair Teak with Cushion</t>
  </si>
  <si>
    <t>TEAK_USAGE Mutation Teak row 108</t>
  </si>
  <si>
    <t>TEAK_USAGE Mutation Teak row 109</t>
  </si>
  <si>
    <t>TEAK_USAGE Mutation Teak row 110</t>
  </si>
  <si>
    <t>TEAK_USAGE Mutation Teak row 111</t>
  </si>
  <si>
    <t>TEAK_USAGE Mutation Teak row 112</t>
  </si>
  <si>
    <t>TEAK_USAGE Mutation Teak row 113</t>
  </si>
  <si>
    <t>TEAK_USAGE Mutation Teak row 114</t>
  </si>
  <si>
    <t>TEAK_USAGE Mutation Teak row 115</t>
  </si>
  <si>
    <t>039E/EVI/042026</t>
  </si>
  <si>
    <t>Dijon Dining Chair with Cushion</t>
  </si>
  <si>
    <t>TEAK_USAGE Mutation Teak row 116</t>
  </si>
  <si>
    <t>TEAK_USAGE Mutation Teak row 117</t>
  </si>
  <si>
    <t>TEAK_USAGE Mutation Teak row 118</t>
  </si>
  <si>
    <t>Clematis Dining Chair</t>
  </si>
  <si>
    <t>TEAK_USAGE Mutation Teak row 119</t>
  </si>
  <si>
    <t>TEAK_USAGE Mutation Teak row 120</t>
  </si>
  <si>
    <t>Pepper Dining Chair with Cushion</t>
  </si>
  <si>
    <t>TEAK_USAGE Mutation Teak row 121</t>
  </si>
  <si>
    <t>New Flinder Chair Black</t>
  </si>
  <si>
    <t>TEAK_USAGE Mutation Teak row 122</t>
  </si>
  <si>
    <t>Sage Lounge Chair Indoor with Cushion</t>
  </si>
  <si>
    <t>TEAK_USAGE Mutation Teak row 123</t>
  </si>
  <si>
    <t>TEAK_USAGE Mutation Teak row 124</t>
  </si>
  <si>
    <t>TEAK_USAGE Mutation Teak row 125</t>
  </si>
  <si>
    <t>TEAK_USAGE Mutation Teak row 126</t>
  </si>
  <si>
    <t>017E/EVI/022026</t>
  </si>
  <si>
    <t>Allium Dining Chair Synthetic BL</t>
  </si>
  <si>
    <t>TEAK_USAGE Mutation Teak row 127</t>
  </si>
  <si>
    <t>Scallion Lounge Chair Outdoor</t>
  </si>
  <si>
    <t>TEAK_USAGE Mutation Teak row 128</t>
  </si>
  <si>
    <t>TEAK_USAGE Mutation Teak row 129</t>
  </si>
  <si>
    <t>TEAK_USAGE Mutation Teak row 130</t>
  </si>
  <si>
    <t>Satin chair</t>
  </si>
  <si>
    <t>TEAK_USAGE Mutation Teak row 131</t>
  </si>
  <si>
    <t>047E/EVI/042026</t>
  </si>
  <si>
    <t>TEAK_USAGE Mutation Teak row 132</t>
  </si>
  <si>
    <t>Provence Chair Teak Wood Seat</t>
  </si>
  <si>
    <t>TEAK_USAGE Mutation Teak row 133</t>
  </si>
  <si>
    <t>TEAK_USAGE Mutation Teak row 134</t>
  </si>
  <si>
    <t>TEAK_USAGE Mutation Teak row 135</t>
  </si>
  <si>
    <t>Cardamom Dining Chair</t>
  </si>
  <si>
    <t>TEAK_USAGE Mutation Teak row 136</t>
  </si>
  <si>
    <t>TEAK_USAGE Mutation Teak row 137</t>
  </si>
  <si>
    <t>TEAK_USAGE Mutation Teak row 138</t>
  </si>
  <si>
    <t>Sevilla Chair Teak</t>
  </si>
  <si>
    <t>TEAK_USAGE Mutation Teak row 139</t>
  </si>
  <si>
    <t>TEAK_USAGE Mutation Teak row 140</t>
  </si>
  <si>
    <t>TEAK_USAGE Mutation Teak row 141</t>
  </si>
  <si>
    <t>Ginger Dining Chair</t>
  </si>
  <si>
    <t>TEAK_USAGE Mutation Teak row 142</t>
  </si>
  <si>
    <t>TEAK_USAGE Mutation Teak row 143</t>
  </si>
  <si>
    <t>044E/EVI/042026</t>
  </si>
  <si>
    <t>TEAK_USAGE Mutation Teak row 144</t>
  </si>
  <si>
    <t>TEAK_USAGE Mutation Teak row 145</t>
  </si>
  <si>
    <t>TEAK_USAGE Mutation Teak row 146</t>
  </si>
  <si>
    <t>TEAK_USAGE Mutation Teak row 147</t>
  </si>
  <si>
    <t>TEAK_USAGE Mutation Teak row 148</t>
  </si>
  <si>
    <t>027E/EVI/032026</t>
  </si>
  <si>
    <t>Magnola chair</t>
  </si>
  <si>
    <t>TEAK_USAGE Mutation Teak row 149</t>
  </si>
  <si>
    <t>Volume 1.6596 m³ set to 0; reason not recorded</t>
  </si>
  <si>
    <t>TEAK_USAGE Mutation Teak row 150</t>
  </si>
  <si>
    <t>058E/EVI/052026</t>
  </si>
  <si>
    <t>TEAK_USAGE Mutation Teak row 151</t>
  </si>
  <si>
    <t>Rose chair</t>
  </si>
  <si>
    <t>TEAK_USAGE Mutation Teak row 152</t>
  </si>
  <si>
    <t>TEAK_USAGE Mutation Teak row 153</t>
  </si>
  <si>
    <t>New Bobby Chair Natural Teak with Cushion</t>
  </si>
  <si>
    <t>TEAK_USAGE Mutation Teak row 154</t>
  </si>
  <si>
    <t>Bobby Counterstool with Cushion</t>
  </si>
  <si>
    <t>TEAK_USAGE Mutation Teak row 155</t>
  </si>
  <si>
    <t>TEAK_USAGE Mutation Teak row 156</t>
  </si>
  <si>
    <t>TEAK_USAGE Mutation Teak row 157</t>
  </si>
  <si>
    <t>TEAK_USAGE Mutation Teak row 158</t>
  </si>
  <si>
    <t>TEAK_USAGE Mutation Teak row 159</t>
  </si>
  <si>
    <t>050E/EVI/042026</t>
  </si>
  <si>
    <t>Taro chair production used</t>
  </si>
  <si>
    <t>TEAK_USAGE Mutation Teak row 160</t>
  </si>
  <si>
    <t>Magnola chair production used</t>
  </si>
  <si>
    <t>TEAK_USAGE Mutation Teak row 161</t>
  </si>
  <si>
    <t>Rose chair production used</t>
  </si>
  <si>
    <t>TEAK_USAGE Mutation Teak row 162</t>
  </si>
  <si>
    <t>Provence chair production used</t>
  </si>
  <si>
    <t>TEAK_USAGE Mutation Teak row 163</t>
  </si>
  <si>
    <t>TEAK_USAGE Mutation Teak row 164</t>
  </si>
  <si>
    <t>TEAK_USAGE Mutation Teak row 165</t>
  </si>
  <si>
    <t>Boston chair production used</t>
  </si>
  <si>
    <t>TEAK_USAGE Mutation Teak row 166</t>
  </si>
  <si>
    <t>TEAK_USAGE Mutation Teak row 167</t>
  </si>
  <si>
    <t>TEAK_USAGE Mutation Teak row 168</t>
  </si>
  <si>
    <t>TEAK_USAGE Mutation Teak row 169</t>
  </si>
  <si>
    <t>TEAK_USAGE Mutation Teak row 170</t>
  </si>
  <si>
    <t>Plumeria chair production used</t>
  </si>
  <si>
    <t>TEAK_USAGE Mutation Teak row 171</t>
  </si>
  <si>
    <t>TEAK_USAGE Mutation Teak row 172</t>
  </si>
  <si>
    <t>TEAK_USAGE Mutation Teak row 173</t>
  </si>
  <si>
    <t>037L/EVI/062026</t>
  </si>
  <si>
    <t>TEAK_USAGE Mutation Teak row 174</t>
  </si>
  <si>
    <t>045E/EVI/042026</t>
  </si>
  <si>
    <t>Flevo Counterstool production used</t>
  </si>
  <si>
    <t>TEAK_USAGE Mutation Teak row 175</t>
  </si>
  <si>
    <t>Allium chair production used</t>
  </si>
  <si>
    <t>TEAK_USAGE Mutation Teak row 176</t>
  </si>
  <si>
    <t>Flinder chair production used</t>
  </si>
  <si>
    <t>TEAK_USAGE Mutation Teak row 177</t>
  </si>
  <si>
    <t>052E/EVI/052026</t>
  </si>
  <si>
    <t>Flevo chair production used</t>
  </si>
  <si>
    <t>TEAK_USAGE Mutation Teak row 178</t>
  </si>
  <si>
    <t>Development used</t>
  </si>
  <si>
    <t>TEAK_USAGE Mutation Teak row 179</t>
  </si>
  <si>
    <t>TEAK_USAGE Mutation Teak row 180</t>
  </si>
  <si>
    <t>047L/EVI/072026</t>
  </si>
  <si>
    <t>TEAK_USAGE Mutation Teak row 181</t>
  </si>
  <si>
    <t>Mona chair production used</t>
  </si>
  <si>
    <t>TEAK_USAGE Mutation Teak row 182</t>
  </si>
  <si>
    <t>066E/EVI/062026</t>
  </si>
  <si>
    <t>TEAK_USAGE Mutation Teak row 183</t>
  </si>
  <si>
    <t>Strap chair production used</t>
  </si>
  <si>
    <t>TEAK_USAGE Mutation Teak row 184</t>
  </si>
  <si>
    <t>TEAK_USAGE Mutation Teak row 185</t>
  </si>
  <si>
    <t>TEAK_USAGE Mutation Teak row 186</t>
  </si>
  <si>
    <t>TEAK_USAGE Mutation Teak row 187</t>
  </si>
  <si>
    <t>TEAK_USAGE Mutation Teak row 188</t>
  </si>
  <si>
    <t>048E/EVI/022026</t>
  </si>
  <si>
    <t>Satin lounge chair production used</t>
  </si>
  <si>
    <t>TEAK_USAGE Mutation Teak row 189</t>
  </si>
  <si>
    <t>TEAK_USAGE Mutation Teak row 190</t>
  </si>
  <si>
    <t>052L/EVI/072026</t>
  </si>
  <si>
    <t>TEAK_USAGE Mutation Teak row 191</t>
  </si>
  <si>
    <t>TEAK_USAGE Mutation Teak row 192</t>
  </si>
  <si>
    <t>TEAK_USAGE Mutation Teak row 193</t>
  </si>
  <si>
    <t>074E/EVI/072026</t>
  </si>
  <si>
    <t>Strap dinning chair production used</t>
  </si>
  <si>
    <t>TEAK_USAGE Mutation Teak row 194</t>
  </si>
  <si>
    <t>076E/EVI/072026</t>
  </si>
  <si>
    <t>TEAK_USAGE Mutation Teak row 195</t>
  </si>
  <si>
    <t>TEAK_USAGE Mutation Teak row 196</t>
  </si>
  <si>
    <t>TEAK_USAGE Mutation Teak row 197</t>
  </si>
  <si>
    <t>TEAK_USAGE Mutation Teak row 198</t>
  </si>
  <si>
    <t>TEAK_USAGE Mutation Teak row 199</t>
  </si>
  <si>
    <t>TEAK_USAGE Mutation Teak row 200</t>
  </si>
  <si>
    <t>Manhattan chair production used</t>
  </si>
  <si>
    <t>TEAK_USAGE Mutation Teak row 201</t>
  </si>
  <si>
    <t>Brazil chair production used</t>
  </si>
  <si>
    <t>TEAK_USAGE Mutation Teak row 202</t>
  </si>
  <si>
    <t>New Flinder chair production used</t>
  </si>
  <si>
    <t>TEAK_USAGE Mutation Teak row 203</t>
  </si>
  <si>
    <t>TEAK_USAGE Mutation Teak row 204</t>
  </si>
  <si>
    <t>TEAK_USAGE Mutation Teak row 205</t>
  </si>
  <si>
    <t>TEAK_USAGE Mutation Teak row 206</t>
  </si>
  <si>
    <t>TEAK_USAGE Mutation Teak row 207</t>
  </si>
  <si>
    <t>TEAK_USAGE Mutation Teak row 208</t>
  </si>
  <si>
    <t>TEAK_USAGE Mutation Teak row 209</t>
  </si>
  <si>
    <t>TEAK_USAGE Mutation Teak row 210</t>
  </si>
  <si>
    <t>Komodo chair production used</t>
  </si>
  <si>
    <t>TEAK_USAGE Mutation Teak row 211</t>
  </si>
  <si>
    <t>TEAK_USAGE Mutation Teak row 212</t>
  </si>
  <si>
    <t>TEAK_USAGE Mutation Teak row 213</t>
  </si>
  <si>
    <t>TEAK_USAGE Mutation Teak row 214</t>
  </si>
  <si>
    <t>TEAK_USAGE Mutation Teak row 215</t>
  </si>
  <si>
    <t>TEAK_USAGE Mutation Teak row 216</t>
  </si>
  <si>
    <t>TEAK_USAGE Mutation Teak row 217</t>
  </si>
  <si>
    <t>TEAK_USAGE Mutation Teak row 218</t>
  </si>
  <si>
    <t>TEAK_USAGE Mutation Teak row 219</t>
  </si>
  <si>
    <t>Bobby counterstool production used</t>
  </si>
  <si>
    <t>TEAK_USAGE Mutation Teak row 220</t>
  </si>
  <si>
    <t>060L/EVI/092026</t>
  </si>
  <si>
    <t>000/ELM</t>
  </si>
  <si>
    <t>Lego Sofa</t>
  </si>
  <si>
    <t>08_Teak Wood 2026.xlsx</t>
  </si>
  <si>
    <t>Plumeria DC</t>
  </si>
  <si>
    <t>Pacific Bench</t>
  </si>
  <si>
    <t>127E/EVI/122025</t>
  </si>
  <si>
    <t>Sample pumpkin</t>
  </si>
  <si>
    <t>SUNKAI_USAGE Mutation Sungkai row 6</t>
  </si>
  <si>
    <t>127E-B/EVI/122025</t>
  </si>
  <si>
    <t>SUNKAI_USAGE Mutation Sungkai row 7</t>
  </si>
  <si>
    <t>Pumpkin S</t>
  </si>
  <si>
    <t>SUNKAI_USAGE Mutation Sungkai row 8</t>
  </si>
  <si>
    <t>SUNKAI_USAGE Mutation Sungkai row 9</t>
  </si>
  <si>
    <t>SUNKAI_USAGE Mutation Sungkai row 10</t>
  </si>
  <si>
    <t>SUNKAI_USAGE Mutation Sungkai row 11</t>
  </si>
  <si>
    <t>123E/EVI/122025</t>
  </si>
  <si>
    <t>Acai chair</t>
  </si>
  <si>
    <t>SUNKAI_USAGE Mutation Sungkai row 12</t>
  </si>
  <si>
    <t>SUNKAI_USAGE Mutation Sungkai row 13</t>
  </si>
  <si>
    <t>SUNKAI_USAGE Mutation Sungkai row 14</t>
  </si>
  <si>
    <t>SUNKAI_USAGE Mutation Sungkai row 15</t>
  </si>
  <si>
    <t>SUNKAI_USAGE Mutation Sungkai row 16</t>
  </si>
  <si>
    <t>SUNKAI_USAGE Mutation Sungkai row 17</t>
  </si>
  <si>
    <t>Pumpkin M</t>
  </si>
  <si>
    <t>SUNKAI_USAGE Mutation Sungkai row 18</t>
  </si>
  <si>
    <t>SUNKAI_USAGE Mutation Sungkai row 19</t>
  </si>
  <si>
    <t>Provence barstool</t>
  </si>
  <si>
    <t>SUNKAI_USAGE Mutation Sungkai row 20</t>
  </si>
  <si>
    <t>SUNKAI_USAGE Mutation Sungkai row 21</t>
  </si>
  <si>
    <t>SUNKAI_USAGE Mutation Sungkai row 22</t>
  </si>
  <si>
    <t>Provence DC</t>
  </si>
  <si>
    <t>SUNKAI_USAGE Mutation Sungkai row 23</t>
  </si>
  <si>
    <t>SUNKAI_USAGE Mutation Sungkai row 24</t>
  </si>
  <si>
    <t>SUNKAI_USAGE Mutation Sungkai row 25</t>
  </si>
  <si>
    <t>SUNKAI_USAGE Mutation Sungkai row 26</t>
  </si>
  <si>
    <t>012E/EVI/022026</t>
  </si>
  <si>
    <t>Mona chair</t>
  </si>
  <si>
    <t>SUNKAI_USAGE Mutation Sungkai row 27</t>
  </si>
  <si>
    <t>SUNKAI_USAGE Mutation Sungkai row 28</t>
  </si>
  <si>
    <t>SUNKAI_USAGE Mutation Sungkai row 29</t>
  </si>
  <si>
    <t>SUNKAI_USAGE Mutation Sungkai row 30</t>
  </si>
  <si>
    <t>SUNKAI_USAGE Mutation Sungkai row 31</t>
  </si>
  <si>
    <t>SUNKAI_USAGE Mutation Sungkai row 32</t>
  </si>
  <si>
    <t>SUNKAI_USAGE Mutation Sungkai row 33</t>
  </si>
  <si>
    <t>SUNKAI_USAGE Mutation Sungkai row 34</t>
  </si>
  <si>
    <t>SUNKAI_USAGE Mutation Sungkai row 35</t>
  </si>
  <si>
    <t>SUNKAI_USAGE Mutation Sungkai row 36</t>
  </si>
  <si>
    <t>042E/EVI/042026</t>
  </si>
  <si>
    <t>SUNKAI_USAGE Mutation Sungkai row 37</t>
  </si>
  <si>
    <t>SUNKAI_USAGE Mutation Sungkai row 38</t>
  </si>
  <si>
    <t>SUNKAI_USAGE Mutation Sungkai row 39</t>
  </si>
  <si>
    <t>SUNKAI_USAGE Mutation Sungkai row 40</t>
  </si>
  <si>
    <t>SUNKAI_USAGE Mutation Sungkai row 41</t>
  </si>
  <si>
    <t>Provence LC</t>
  </si>
  <si>
    <t>SUNKAI_USAGE Mutation Sungkai row 42</t>
  </si>
  <si>
    <t>SUNKAI_USAGE Mutation Sungkai row 43</t>
  </si>
  <si>
    <t>033L/EVI/052026</t>
  </si>
  <si>
    <t>SUNKAI_USAGE Mutation Sungkai row 44</t>
  </si>
  <si>
    <t>SUNKAI_USAGE Mutation Sungkai row 45</t>
  </si>
  <si>
    <t>SUNKAI_USAGE Mutation Sungkai row 46</t>
  </si>
  <si>
    <t>SUNKAI_USAGE Mutation Sungkai row 47</t>
  </si>
  <si>
    <t>SUNKAI_USAGE Mutation Sungkai row 48</t>
  </si>
  <si>
    <t>SUNKAI_USAGE Mutation Sungkai row 49</t>
  </si>
  <si>
    <t>SUNKAI_USAGE Mutation Sungkai row 50</t>
  </si>
  <si>
    <t>SUNKAI_USAGE Mutation Sungkai row 51</t>
  </si>
  <si>
    <t>SUNKAI_USAGE Mutation Sungkai row 52</t>
  </si>
  <si>
    <t>SUNKAI_USAGE Mutation Sungkai row 53</t>
  </si>
  <si>
    <t>SUNKAI_USAGE Mutation Sungkai row 54</t>
  </si>
  <si>
    <t>SUNKAI_USAGE Mutation Sungkai row 55</t>
  </si>
  <si>
    <t>SUNKAI_USAGE Mutation Sungkai row 56</t>
  </si>
  <si>
    <t>SUNKAI_USAGE Mutation Sungkai row 57</t>
  </si>
  <si>
    <t>081E/EVI/082026</t>
  </si>
  <si>
    <t>SUNKAI_USAGE Mutation Sungkai row 58</t>
  </si>
  <si>
    <t>SUNKAI_USAGE Mutation Sungkai row 59</t>
  </si>
  <si>
    <t>SUNKAI_USAGE Mutation Sungkai row 60</t>
  </si>
  <si>
    <t>SUNKAI_USAGE Mutation Sungkai row 61</t>
  </si>
  <si>
    <t>SUNKAI_USAGE Mutation Sungkai row 62</t>
  </si>
  <si>
    <t>SUNKAI_USAGE Mutation Sungkai row 63</t>
  </si>
  <si>
    <t>SUNKAI_USAGE Mutation Sungkai row 64</t>
  </si>
  <si>
    <t>Overhead</t>
  </si>
  <si>
    <t>Internal</t>
  </si>
  <si>
    <t>QC Table Lamp Stand (Inhouse)</t>
  </si>
  <si>
    <t>08_Sungkai Wood 2026.xlsx</t>
  </si>
  <si>
    <t>086E-A &amp; 086E-B/EVI/082026</t>
  </si>
  <si>
    <t>079/IL</t>
  </si>
  <si>
    <t>Panther Chair</t>
  </si>
  <si>
    <t>LIVERPOOL</t>
  </si>
  <si>
    <t>Sloan Lounger</t>
  </si>
  <si>
    <t>SPK260900039</t>
  </si>
  <si>
    <t>069E/EVI/062026</t>
  </si>
  <si>
    <t>RDC Alata Cabinet 4 Drawers</t>
  </si>
  <si>
    <t>08_Pinus Wood 2026.xlsx</t>
  </si>
  <si>
    <t>095E/EVI/092026</t>
  </si>
  <si>
    <t>Manhattan Chair</t>
  </si>
  <si>
    <t>Manhattan Chair, Rose Chair</t>
  </si>
  <si>
    <t>Rose Chair</t>
  </si>
  <si>
    <t>Sample Sloan Lounger</t>
  </si>
  <si>
    <t>Provence Chair</t>
  </si>
  <si>
    <t>Eastwood</t>
  </si>
  <si>
    <t>Finance adjustment to tie up with inhouse</t>
  </si>
  <si>
    <t>Adjustment</t>
  </si>
  <si>
    <t>No usage record</t>
  </si>
  <si>
    <t>Balance difference</t>
  </si>
  <si>
    <t>Rounding</t>
  </si>
  <si>
    <t>Stock count difference</t>
  </si>
  <si>
    <t>Strap Chair</t>
  </si>
  <si>
    <t>Explained by Donald file</t>
  </si>
  <si>
    <t>Explained</t>
  </si>
  <si>
    <t>Incoming difference</t>
  </si>
  <si>
    <t>028/EVI/032026</t>
  </si>
  <si>
    <t>Flevo Counter Stool</t>
  </si>
  <si>
    <t>028E/EVI/032026</t>
  </si>
  <si>
    <t>New Flinder Chair</t>
  </si>
  <si>
    <t>Proven DC</t>
  </si>
  <si>
    <t>Flevo Conter</t>
  </si>
  <si>
    <t>055L/EVI/082026</t>
  </si>
  <si>
    <t>057L/EVI/092026</t>
  </si>
  <si>
    <t>Flevo CS</t>
  </si>
  <si>
    <t>Trolley Inhouse</t>
  </si>
  <si>
    <t>Sliding Door between QC Room and Office</t>
  </si>
  <si>
    <t>Mint Lounge</t>
  </si>
  <si>
    <t>Sample Panther Chair</t>
  </si>
  <si>
    <t>086E-A/B/EVI/082026</t>
  </si>
  <si>
    <t>Stock component</t>
  </si>
  <si>
    <t>Inhouse</t>
  </si>
  <si>
    <t>Buffer Stock For Proven</t>
  </si>
  <si>
    <t>SPK260900038</t>
  </si>
  <si>
    <t>POLY &amp; BARK</t>
  </si>
  <si>
    <t>Sample Bobby Coounter, DC, Sevill &amp; Shelby</t>
  </si>
  <si>
    <t>Komodo Chair</t>
  </si>
  <si>
    <t>Shelby LC</t>
  </si>
  <si>
    <t>-</t>
  </si>
  <si>
    <t>Replacement Provence DC</t>
  </si>
  <si>
    <t>052E/EV/052026</t>
  </si>
  <si>
    <t>102/SL</t>
  </si>
  <si>
    <t>08_Teak Wood 2026 - By Nuriyanti (1).xlsx Out 10-10</t>
  </si>
  <si>
    <t>Xavier DT, Xavier DT Marble</t>
  </si>
  <si>
    <t>Wood Stock Inhouse Reports (per Oct 17, 2026).xlsx Per Oct 14</t>
  </si>
  <si>
    <t>08_Pinus Wood 2026.xlsx Outgoing 13-10</t>
  </si>
  <si>
    <t>08_Teak Wood 2026 - By Nuriyanti (1).xlsx Out 12-10</t>
  </si>
  <si>
    <t>Sample Swatch Panel</t>
  </si>
  <si>
    <t>08_Sungkai Wood 2026 - By Nuriyanti.xlsx Out 19-10</t>
  </si>
  <si>
    <t>Rose Chair, Manhattan Chair</t>
  </si>
  <si>
    <t>Xavier DT Marble</t>
  </si>
  <si>
    <t>08_Pinus Wood 2026.xlsx Outgoing 14-10</t>
  </si>
  <si>
    <t>115/PA</t>
  </si>
  <si>
    <t>SPK.260900038</t>
  </si>
  <si>
    <t>08_Teak Wood 2026 - By Nuriyanti (1).xlsx Out 13-10</t>
  </si>
  <si>
    <t>08_Teak Wood 2026 - By Nuriyanti (1).xlsx Out 13-10; thickness 3.5 cm per Donald report 14 Oct</t>
  </si>
  <si>
    <t>Baobab DT</t>
  </si>
  <si>
    <t>08_Teak Wood 2026 - By Nuriyanti (1).xlsx Out 14-10</t>
  </si>
  <si>
    <t>08_Teak Wood 2026 - By Nuriyanti (1).xlsx Out 15-10</t>
  </si>
  <si>
    <t>Meja Admin</t>
  </si>
  <si>
    <t>096E/EVI/102026</t>
  </si>
  <si>
    <t>08_Teak Wood 2026 - By Nuriyanti (1).xlsx Out 16-10</t>
  </si>
  <si>
    <t>Strap Dining Chair</t>
  </si>
  <si>
    <t>08_Teak Wood 2026 - By Nuriyanti (1).xlsx Out 16-10; no MO in source</t>
  </si>
  <si>
    <t>08_Teak Wood 2026 - By Nuriyanti (1).xlsx Out 17-10</t>
  </si>
  <si>
    <t>08_Teak Wood 2026 - By Nuriyanti (1).xlsx Out 17-10; MO as written in source</t>
  </si>
  <si>
    <t>08_Teak Wood 2026 - By Nuriyanti (1).xlsx Out 19-10</t>
  </si>
  <si>
    <t>097E/EVI/102026</t>
  </si>
  <si>
    <t>Provence Dining Chair</t>
  </si>
  <si>
    <t>08_Teak Wood 2026 - By Nuriyanti (1).xlsx Out 20-10</t>
  </si>
  <si>
    <t>Lego Chair</t>
  </si>
  <si>
    <t>08_Teak Wood 2026 - By Nuriyanti (1).xlsx Out 21-10</t>
  </si>
  <si>
    <t>Sample (Grade A)</t>
  </si>
  <si>
    <t>08_Teak Wood 2026 - By Nuriyanti (1).xlsx Out 22-10; no MO in source</t>
  </si>
  <si>
    <t>08_Teak Wood 2026 - By Nuriyanti (1).xlsx Out 22-10</t>
  </si>
  <si>
    <t>08_Teak Wood 2026 - By Nuriyanti (1).xlsx Out 23-10</t>
  </si>
  <si>
    <t>08_Teak Wood 2026 - By Nuriyanti (1).xlsx Out 24-10</t>
  </si>
  <si>
    <t>Sample Sitrus Chair</t>
  </si>
  <si>
    <t>08_Sungkai Wood 2026 - By Nuriyanti.xlsx Out 21-10</t>
  </si>
  <si>
    <t>08_Sungkai Wood 2026 - By Nuriyanti.xlsx Out 22-10</t>
  </si>
  <si>
    <t>08_Sungkai Wood 2026 - By Nuriyanti.xlsx Out 22-10; 1 pcs length 290 mm as written</t>
  </si>
  <si>
    <t>08_Sungkai Wood 2026 - By Nuriyanti.xlsx Out 23-10</t>
  </si>
  <si>
    <t>From</t>
  </si>
  <si>
    <t>To</t>
  </si>
  <si>
    <t>130/TR</t>
  </si>
  <si>
    <t>093/RD</t>
  </si>
  <si>
    <t>125/FJ</t>
  </si>
  <si>
    <t>Wood Stock (14 Oct 2026).pdf</t>
  </si>
  <si>
    <t>041/TD</t>
  </si>
  <si>
    <t>Strap Dining Chiar Light Brown Suede</t>
  </si>
  <si>
    <t>Wood Stock Inhouse Reports (per Oct 17, 2026).xlsx</t>
  </si>
  <si>
    <t>SPK</t>
  </si>
  <si>
    <t>Item</t>
  </si>
  <si>
    <t>Deadline</t>
  </si>
  <si>
    <t>Qty Order</t>
  </si>
  <si>
    <t>Qty Shipped</t>
  </si>
  <si>
    <t>Balance</t>
  </si>
  <si>
    <t>Latest Status</t>
  </si>
  <si>
    <t>Sample Bobby Counter Stool = Rangka Kayu Jati Grade AB =</t>
  </si>
  <si>
    <t>Assembling Process (Hasil revisi)</t>
  </si>
  <si>
    <t>QC Final</t>
  </si>
  <si>
    <t>Shipped to Semambu</t>
  </si>
  <si>
    <t>Sample Bobby Dining Chair = Rangka Kayu Jati Grade AB =</t>
  </si>
  <si>
    <t>Fuchsia DC = Rangka Sandaran dan Lemprak Kayu Jati Grade AB =</t>
  </si>
  <si>
    <t>Assembling Process</t>
  </si>
  <si>
    <t>Sanding Process</t>
  </si>
  <si>
    <t>Sloan Lounger = Rangka Kayu Jati Grade AB =</t>
  </si>
  <si>
    <t>Pembahanan (Revisi After QC Check)</t>
  </si>
  <si>
    <t>Satin DC = Rangka Kayu Jati AB =</t>
  </si>
  <si>
    <t>Satin Laounge Chair = Rangka Kayu Jati Grade AB =</t>
  </si>
  <si>
    <t>Sitrus Chair - Lemparak slat kayu jati - Outdoor</t>
  </si>
  <si>
    <t>Units</t>
  </si>
  <si>
    <t>Items</t>
  </si>
  <si>
    <t>SPK Sample</t>
  </si>
  <si>
    <t>m³ OUT</t>
  </si>
  <si>
    <t>Revised Dimension</t>
  </si>
  <si>
    <t>Machining Process</t>
  </si>
  <si>
    <t>Tanpa SPK</t>
  </si>
  <si>
    <t>Tanggal Opname</t>
  </si>
  <si>
    <t>Jati</t>
  </si>
  <si>
    <t>Pinus</t>
  </si>
  <si>
    <t>6 (Grade A)</t>
  </si>
  <si>
    <t>7 (Grade A)</t>
  </si>
  <si>
    <t>Tanggal</t>
  </si>
  <si>
    <t>Keterangan</t>
  </si>
  <si>
    <t>File</t>
  </si>
  <si>
    <t>Sheet</t>
  </si>
  <si>
    <t>Sel Volume</t>
  </si>
  <si>
    <t>Count</t>
  </si>
  <si>
    <t>Wood Stock Inhouse Reports (per Oct 24, 2026).xlsx</t>
  </si>
  <si>
    <t>Per Oct 17, 2026</t>
  </si>
  <si>
    <t>F7</t>
  </si>
  <si>
    <t>F8</t>
  </si>
  <si>
    <t>F9</t>
  </si>
  <si>
    <t>F10</t>
  </si>
  <si>
    <t>F11</t>
  </si>
  <si>
    <t>F12</t>
  </si>
  <si>
    <t>F13</t>
  </si>
  <si>
    <t>F14</t>
  </si>
  <si>
    <t>F15</t>
  </si>
  <si>
    <t>F17</t>
  </si>
  <si>
    <t>F18</t>
  </si>
  <si>
    <t>F19</t>
  </si>
  <si>
    <t>F20</t>
  </si>
  <si>
    <t>F21</t>
  </si>
  <si>
    <t>F22</t>
  </si>
  <si>
    <t>F23</t>
  </si>
  <si>
    <t>F24</t>
  </si>
  <si>
    <t>F25</t>
  </si>
  <si>
    <t>F27</t>
  </si>
  <si>
    <t>F28</t>
  </si>
  <si>
    <t>L7</t>
  </si>
  <si>
    <t>L8</t>
  </si>
  <si>
    <t>L9</t>
  </si>
  <si>
    <t>L10</t>
  </si>
  <si>
    <t>L11</t>
  </si>
  <si>
    <t>L12</t>
  </si>
  <si>
    <t>L13</t>
  </si>
  <si>
    <t>L14</t>
  </si>
  <si>
    <t>L15</t>
  </si>
  <si>
    <t>L17</t>
  </si>
  <si>
    <t>L18</t>
  </si>
  <si>
    <t>L19</t>
  </si>
  <si>
    <t>L20</t>
  </si>
  <si>
    <t>L21</t>
  </si>
  <si>
    <t>L22</t>
  </si>
  <si>
    <t>L23</t>
  </si>
  <si>
    <t>L24</t>
  </si>
  <si>
    <t>L25</t>
  </si>
  <si>
    <t>L27</t>
  </si>
  <si>
    <t>L28</t>
  </si>
  <si>
    <t>Per Oct 21, 2026</t>
  </si>
  <si>
    <t>Per Oct 24, 2026</t>
  </si>
  <si>
    <t>F16</t>
  </si>
  <si>
    <t>F26</t>
  </si>
  <si>
    <t>F29</t>
  </si>
  <si>
    <t>F30</t>
  </si>
  <si>
    <t>Coder</t>
  </si>
  <si>
    <t>STREAM</t>
  </si>
  <si>
    <t>TYPE</t>
  </si>
  <si>
    <t>No. SPK/PO</t>
  </si>
  <si>
    <t>Tanggal SPK</t>
  </si>
  <si>
    <t>Pemasok</t>
  </si>
  <si>
    <t>Kode Barang</t>
  </si>
  <si>
    <t>Nama Barang</t>
  </si>
  <si>
    <t>Material</t>
  </si>
  <si>
    <t>Qty di SPK/PO(Unit)</t>
  </si>
  <si>
    <t>Not Started Yet Stage</t>
  </si>
  <si>
    <t>Material Preparation (Pembahanan) Stage</t>
  </si>
  <si>
    <t>Machining Stage</t>
  </si>
  <si>
    <t>Assembling Stage</t>
  </si>
  <si>
    <t>Sanding Stage</t>
  </si>
  <si>
    <t>QC Final Stage</t>
  </si>
  <si>
    <t>Completed</t>
  </si>
  <si>
    <t>Balance WIP</t>
  </si>
  <si>
    <t>Shipped</t>
  </si>
  <si>
    <t>Balance Hand Over</t>
  </si>
  <si>
    <t>helper: stuck after Not started</t>
  </si>
  <si>
    <t>helper: stuck after Pembahanan</t>
  </si>
  <si>
    <t>helper: stuck after Machining</t>
  </si>
  <si>
    <t>helper: stuck after Assembling</t>
  </si>
  <si>
    <t>helper: stuck after Sanding</t>
  </si>
  <si>
    <t>helper: stuck after QC Final</t>
  </si>
  <si>
    <t>helper: open (qty-shipped&gt;0)</t>
  </si>
  <si>
    <t>helper: WIP (qty-completed&gt;0)</t>
  </si>
  <si>
    <t>helper: overdue open</t>
  </si>
  <si>
    <t>helper: overdue 1-7</t>
  </si>
  <si>
    <t>helper: overdue 8-14</t>
  </si>
  <si>
    <t>helper: overdue 15-30</t>
  </si>
  <si>
    <t>helper: overdue 30+</t>
  </si>
  <si>
    <t>helper: frame done, not sent</t>
  </si>
  <si>
    <t>006E</t>
  </si>
  <si>
    <t>EXPORT</t>
  </si>
  <si>
    <t>Full</t>
  </si>
  <si>
    <t>SPK.0165E/INS/022026</t>
  </si>
  <si>
    <t>In - House Wood Production</t>
  </si>
  <si>
    <t>BY01N01701SR3</t>
  </si>
  <si>
    <t>BYE - Strap Dining Chair Light Brown Suede = Rangka Kayu Jati | IHW =</t>
  </si>
  <si>
    <t>009E</t>
  </si>
  <si>
    <t>SPK.0166E/INS/022026</t>
  </si>
  <si>
    <t>BY01N10801SR2</t>
  </si>
  <si>
    <t>BYE - Rose Chair Teak Wood Seat = Rangka Kayu Jati | IHW =</t>
  </si>
  <si>
    <t>BY01N07411SR3</t>
  </si>
  <si>
    <t>BYE - Rose Chair Teak with Cushion = Rangka Kayu Jati + Plywood | IHW =</t>
  </si>
  <si>
    <t>BY01N07601SR5</t>
  </si>
  <si>
    <t>BYE - Manhattan Chair Teak Webbing Seater = Rangka Kayu Jati | IHW =</t>
  </si>
  <si>
    <t>BY01N07511SR5</t>
  </si>
  <si>
    <t>BYE - Mona Chair Teak with Cushion = Rangka Kayu Jati + Plywood | IHW =</t>
  </si>
  <si>
    <t>BY01N07811SR4</t>
  </si>
  <si>
    <t>BYE - Provence Chair Teak with Cushion = Rangka Kayu Jati + Plywood | IHW =</t>
  </si>
  <si>
    <t>010E</t>
  </si>
  <si>
    <t>010E/EVI/022026</t>
  </si>
  <si>
    <t>133/TM</t>
  </si>
  <si>
    <t>SPK.0281E/INS/032026</t>
  </si>
  <si>
    <t>BY01N04701SR2</t>
  </si>
  <si>
    <t>BYE - Provence Chair Natural Wood Seat = Rangka Kayu Sungkai | IHW =</t>
  </si>
  <si>
    <t>012E</t>
  </si>
  <si>
    <t>098/MA</t>
  </si>
  <si>
    <t>SPK.0312E/INS/032026</t>
  </si>
  <si>
    <t>BY01N09201SR3</t>
  </si>
  <si>
    <t>BYE - Manhattan Chair Sungkai Webbing Seater = Rangka Kayu Sungkai | IHW =</t>
  </si>
  <si>
    <t>BY01N08311SR2</t>
  </si>
  <si>
    <t>BYE - Mona Chair Sungkai with Cushion = Rangka Kayu Sungkai + Plywood | IHW =</t>
  </si>
  <si>
    <t>BY01D11511SR2</t>
  </si>
  <si>
    <t>BYE - Provence Chair Sungkai Dark Brown with Cushion = Rangka Kayu Sungkai + Plywood | IHW =</t>
  </si>
  <si>
    <t>022E</t>
  </si>
  <si>
    <t>SPK.0260E/INS/032026</t>
  </si>
  <si>
    <t>PA01N01601SR2</t>
  </si>
  <si>
    <t>PMA - Provence Barstool Sungkai with Wood Seater Sh65 = Rangka Kayu Sungkai | IHW =</t>
  </si>
  <si>
    <t>PA01N01701SR2</t>
  </si>
  <si>
    <t>PMA - Provence Barstool Teak with Wood Seater Sh65 = Rangka Kayu Jati | IHW =</t>
  </si>
  <si>
    <t>PA01N01801SR2</t>
  </si>
  <si>
    <t>PMA - Provence Barstool Sungkai with Wood Seater Sh75 = Rangka Kayu Sungkai | IHW =</t>
  </si>
  <si>
    <t>PA01N01901SR2</t>
  </si>
  <si>
    <t>PMA - Provence Barstool Teak with Wood Seater Sh75 = Rangka Kayu Jati | IHW =</t>
  </si>
  <si>
    <t>PA01N00101SR3</t>
  </si>
  <si>
    <t>PMA - Provence Dining Chair Wood Seat Sungkai = Rangka Kayu Sungkai | IHW =</t>
  </si>
  <si>
    <t>096E</t>
  </si>
  <si>
    <t>131/CR</t>
  </si>
  <si>
    <t>SPK.1445E/INS/122025</t>
  </si>
  <si>
    <t>BY05N12801SR1</t>
  </si>
  <si>
    <t>BYE - Petra Coffee Table Teak with Wood Top D90 = Rangka Kayu Jati | IHW =</t>
  </si>
  <si>
    <t>BY02N06011SR2</t>
  </si>
  <si>
    <t>BYE - Shelby Chair Teak = Rangka Kayu Jati | IHW =</t>
  </si>
  <si>
    <t>BY02N06201SR2</t>
  </si>
  <si>
    <t>BYE - Citrus Lounge Chair Teak = Rangka Kayu Jati | IHW =</t>
  </si>
  <si>
    <t>EC02N00411SR3</t>
  </si>
  <si>
    <t>ECI - New Lego Chair Indoor Cushion = Rangka Kayu Jati | IHW =</t>
  </si>
  <si>
    <t>BY07N03301SR1</t>
  </si>
  <si>
    <t>BYE - Petra Dining Table Teak with Wood Top D90 = Rangka Kayu Jati | IHW =</t>
  </si>
  <si>
    <t>BY02N04801SR2</t>
  </si>
  <si>
    <t>BYE - Brazil Chair = Rangka Kayu Jati | IHW =</t>
  </si>
  <si>
    <t>EC03N00811SR2</t>
  </si>
  <si>
    <t>ECI - New Lego Sofa Indoor Cushion = Rangka Kayu Jati | IHW =</t>
  </si>
  <si>
    <t>BY04N02001SR4</t>
  </si>
  <si>
    <t>BYE - Flevo Counterstool = Rangka Kayu Jati | IHW =</t>
  </si>
  <si>
    <t>BY07N01401SR2</t>
  </si>
  <si>
    <t>BYE - Orchid Dining Table Teak with Wood Top D120 = Rangka Kayu Jati | IHW =</t>
  </si>
  <si>
    <t>107E</t>
  </si>
  <si>
    <t>SPK.1211E/INS/112025</t>
  </si>
  <si>
    <t>EC02N00301SR3</t>
  </si>
  <si>
    <t>ECI - Strap Chair Light Brown Suede = Rangka Kayu Jati | Ihw =</t>
  </si>
  <si>
    <t>BY02N01001SR3</t>
  </si>
  <si>
    <t>BYE - Komodo Chair Natural = Rangka Kayu Jati | Ihw =</t>
  </si>
  <si>
    <t>BY01N01601SR3</t>
  </si>
  <si>
    <t>BYE - Wishbone Chair Natural = Rangka Kayu Jati | Ihw =</t>
  </si>
  <si>
    <t>ECI - New Lego Chair Indoor Cushion = Rangka Kayu Jati | Ihw =</t>
  </si>
  <si>
    <t>EC16N00501SR3</t>
  </si>
  <si>
    <t>ECI - Pumpkin Lantern (L) = Rangka Kayu Jati | Ihw =</t>
  </si>
  <si>
    <t>109E</t>
  </si>
  <si>
    <t>SPK.1418E/INS/122025</t>
  </si>
  <si>
    <t>FJ01N00001SR2</t>
  </si>
  <si>
    <t>FJK - Baobab Dining Table D120 = Rangka Kayu Jati | IHW =</t>
  </si>
  <si>
    <t>BY07N01501SR2</t>
  </si>
  <si>
    <t>BYE - Xavier Dining Table Teak with Marble D120 = Rangka Kayu Jati | IHW =</t>
  </si>
  <si>
    <t>EC07N02001SR2</t>
  </si>
  <si>
    <t>ECI - Prague Dining Rectangular 150 = Rangka Kayu Jati | IHW =</t>
  </si>
  <si>
    <t>EC07N00701SR2</t>
  </si>
  <si>
    <t>ECI - Erik Dining Table 180 = Rangka Kayu Jati | IHW =</t>
  </si>
  <si>
    <t>EC05N05001SR2</t>
  </si>
  <si>
    <t>ECI - Eastwood Table Round Marble = Rangka Kayu Jati | IHW =</t>
  </si>
  <si>
    <t>SPK.1474E/INS/122025</t>
  </si>
  <si>
    <t>115E</t>
  </si>
  <si>
    <t>001/RM</t>
  </si>
  <si>
    <t>SPK.0168E/INS/022026</t>
  </si>
  <si>
    <t>BY05N09501SR2</t>
  </si>
  <si>
    <t>BYE - Tropez Coffee Table Teak = Rangka Kayu Jati | IHW =</t>
  </si>
  <si>
    <t>BY05N09401SR2</t>
  </si>
  <si>
    <t>BYE - Tropez Side Table Teak = Rangka Kayu Jati | IHW =</t>
  </si>
  <si>
    <t>SPK.0167E/INS/022026</t>
  </si>
  <si>
    <t>123E</t>
  </si>
  <si>
    <t>059/KH</t>
  </si>
  <si>
    <t>SPK.0014E/INS/012026</t>
  </si>
  <si>
    <t>BY01N12011SR1</t>
  </si>
  <si>
    <t>BYE - Acai Chair Sungkai with Cushion = Rangka Kayu Sungkai + Plywood | IHW =</t>
  </si>
  <si>
    <t>126E</t>
  </si>
  <si>
    <t>SPK.0013E/INS/012026</t>
  </si>
  <si>
    <t>BYE - Acai Chair Sungkai with Peel Seater Cushion = Rangka Kayu Sungkai + Plywood | IHW =</t>
  </si>
  <si>
    <t>BY01N11411SR2</t>
  </si>
  <si>
    <t>BYE - Acai Chair Teak with Peel Seater Cushion = Rangka Kayu Jati + Plywood =</t>
  </si>
  <si>
    <t>127E</t>
  </si>
  <si>
    <t>SPK.0025E/INS/012026</t>
  </si>
  <si>
    <t>EC16N00901SR2</t>
  </si>
  <si>
    <t>ECI - Pumpkin Lantern (M) Sungkai = Rangka Kayu Sungkai | IHW =</t>
  </si>
  <si>
    <t>EC16N01001SR2</t>
  </si>
  <si>
    <t>ECI - Pumpkin Lantern (S) Sungkai = Rangka Kayu Sungkai | IHW =</t>
  </si>
  <si>
    <t>SPK.0001E/INS/012026</t>
  </si>
  <si>
    <t>036E</t>
  </si>
  <si>
    <t>SPK.0359E/INS/042026</t>
  </si>
  <si>
    <t>017E</t>
  </si>
  <si>
    <t>SPK.0360E/INS/042026</t>
  </si>
  <si>
    <t>BY01N12201SR1</t>
  </si>
  <si>
    <t>BYE - Allium Dining Chair Synthetic BL = Rangka Kayu Jati | IHW =</t>
  </si>
  <si>
    <t>BY02N07811SR1</t>
  </si>
  <si>
    <t>BYE - Mint Lounge Chair = Rangka Kayu Jati + Plywood | IHW =</t>
  </si>
  <si>
    <t>BY01N04911SR2</t>
  </si>
  <si>
    <t>BYE - Provence Chair Natural with Cushion = Rangka Kayu Sungkai + Plywood | IHW =</t>
  </si>
  <si>
    <t>BYE - Wishbone Chair Natural = Rangka Kayu Jati | IHW =</t>
  </si>
  <si>
    <t>EC02N00201SR3</t>
  </si>
  <si>
    <t>ECI - Strap Chair Dark Brown Suede = Rangka Kayu Jati | IHW =</t>
  </si>
  <si>
    <t>BYE - Komodo Chair Natural = Rangka Kayu Jati | IHW =</t>
  </si>
  <si>
    <t>032E</t>
  </si>
  <si>
    <t>015/TA</t>
  </si>
  <si>
    <t>SPK.0394E/INS/042026</t>
  </si>
  <si>
    <t>BY02N07211SR2</t>
  </si>
  <si>
    <t>BYE - Provence Lounge Chair Teak with Cushion = Rangka Kayu Jati + Plywood | IHW =</t>
  </si>
  <si>
    <t>039E</t>
  </si>
  <si>
    <t>012/DA</t>
  </si>
  <si>
    <t>SPK.0399E/INS/042026</t>
  </si>
  <si>
    <t>BY01N12501SR1</t>
  </si>
  <si>
    <t>BYE - Clematis Dining Chair = Rangka Kayu Jati | IHW =</t>
  </si>
  <si>
    <t>BY01N12611SR1</t>
  </si>
  <si>
    <t>BYE - Dijon Dining Chair with Cushion = Rangka Kayu Jati + Plywood | IHW =</t>
  </si>
  <si>
    <t>BY01N12711SR1</t>
  </si>
  <si>
    <t>BYE - Pepper Dining Chair with Cushion = Rangka Kayu Jati + Plywood | IHW =</t>
  </si>
  <si>
    <t>BY02N08111SR1</t>
  </si>
  <si>
    <t>BYE - Sage Lounge Chair Indoor with Cushion = Rangka Kayu Jati | IHW =</t>
  </si>
  <si>
    <t>BY02N08301SR1</t>
  </si>
  <si>
    <t>BYE - Scallion Lounge Chair Outdoor = Rangka Kayu Jati | IHW =</t>
  </si>
  <si>
    <t>BY04N04001SR1</t>
  </si>
  <si>
    <t>BYE - Provence Counterstool Teak Wood Seat = Rangka Kayu Jati | IHW =</t>
  </si>
  <si>
    <t>BY01B03701SR2</t>
  </si>
  <si>
    <t>BYE - New Flinder Chair Black = Rangka Kayu Jati | IHW =</t>
  </si>
  <si>
    <t>BY01N10201SR2</t>
  </si>
  <si>
    <t>BYE - Provence Chair Teak Wood Seat = Rangka Kayu Jati | IHW =</t>
  </si>
  <si>
    <t>BY02D08401SR1</t>
  </si>
  <si>
    <t>BYE - Satin Lounge Chair = Rangka Kayu Jati | IHW =</t>
  </si>
  <si>
    <t>042E</t>
  </si>
  <si>
    <t>SPK.0427E/INS/042026</t>
  </si>
  <si>
    <t>PA01N01311SR2</t>
  </si>
  <si>
    <t>PMA - Provence Lounge Chair Teak with Cushion = Rangka Kayu Jati + Plywood =</t>
  </si>
  <si>
    <t>PA01N01411SR2</t>
  </si>
  <si>
    <t>PMA - Provence Lounge Chair Sungkai with Cushion = Rangka Kayu Sungkai + Plywood =</t>
  </si>
  <si>
    <t>021L</t>
  </si>
  <si>
    <t>021L/EVI/042026</t>
  </si>
  <si>
    <t>LOCAL</t>
  </si>
  <si>
    <t>SPK.0127L/INS/042026</t>
  </si>
  <si>
    <t>022L</t>
  </si>
  <si>
    <t>022L/EVI/042026</t>
  </si>
  <si>
    <t>SPK.0136L/INS/042026</t>
  </si>
  <si>
    <t>023L</t>
  </si>
  <si>
    <t>023L/EVI/042026</t>
  </si>
  <si>
    <t>SPK.0135L/INS/042026</t>
  </si>
  <si>
    <t>BY01N10911SR2</t>
  </si>
  <si>
    <t>BYE - Manhattan Chair Teak with Cushion = Rangka Kayu Jati + Plywood | IHW =</t>
  </si>
  <si>
    <t>024L</t>
  </si>
  <si>
    <t>024L/EVI/042026</t>
  </si>
  <si>
    <t>SPK.0137L/INS/042026</t>
  </si>
  <si>
    <t>BY01D12901SR1</t>
  </si>
  <si>
    <t>BYE - Satin Dining Armchair = Rangka Kayu Jati | IHW =</t>
  </si>
  <si>
    <t>BY01D13001SR1</t>
  </si>
  <si>
    <t>BYE - Satin Dining Chair = Rangka Kayu Jati | IHW =</t>
  </si>
  <si>
    <t>027E</t>
  </si>
  <si>
    <t>SPK.0467E/INS/042026</t>
  </si>
  <si>
    <t>PA01N02211SR1</t>
  </si>
  <si>
    <t>PMA - Magnola Dining Chair with Armrest - Seat Cushion = Rangka Kayu Jati + Plywood | IHW =</t>
  </si>
  <si>
    <t>PA01N02311SR1</t>
  </si>
  <si>
    <t>PMA - Magnola Dining Chair without Armrest - Seat Cushion = Rangka Kayu Jati + Plywood | IHW =</t>
  </si>
  <si>
    <t>SPK.0505E/INS/052026</t>
  </si>
  <si>
    <t>041E</t>
  </si>
  <si>
    <t>041E/EVI/042026</t>
  </si>
  <si>
    <t>129/BF</t>
  </si>
  <si>
    <t>SPK.0513E/INS/052026</t>
  </si>
  <si>
    <t>BY04N02911SR2</t>
  </si>
  <si>
    <t>BYE - Provence Barstool Teak with Cushion = Rangka Kayu Jati + Playwood | IHW =</t>
  </si>
  <si>
    <t>051E</t>
  </si>
  <si>
    <t>051E/EVI/042026</t>
  </si>
  <si>
    <t>017/TC</t>
  </si>
  <si>
    <t>Partial</t>
  </si>
  <si>
    <t>SPK.0499E/INS/052026</t>
  </si>
  <si>
    <t>TC02N01201SE1</t>
  </si>
  <si>
    <t>TNC - Manhattan Chair Teak | Outdoor Seater = Lemprak Kayu Jati | IHW =</t>
  </si>
  <si>
    <t>028E</t>
  </si>
  <si>
    <t>SPK.0545E/INS/052026</t>
  </si>
  <si>
    <t>BY01N13401SR1</t>
  </si>
  <si>
    <t>BYE - Taro Dining Chair = Rangka Kayu Jati | IHW =</t>
  </si>
  <si>
    <t>BY01N13101SR1</t>
  </si>
  <si>
    <t>BYE - Plumeria Dining Chair = Rangka Kayu Jati | IHW =</t>
  </si>
  <si>
    <t>BY01N11701SR3</t>
  </si>
  <si>
    <t>BYE - New Bobby Chair Natural = Kaki Kayu Jati | IHW =</t>
  </si>
  <si>
    <t>BY01B11801SR3</t>
  </si>
  <si>
    <t>BYE - New Bobby Chair Black = Kaki Kayu Jati | IHW =</t>
  </si>
  <si>
    <t>BY02N08211SR1</t>
  </si>
  <si>
    <t>BYE - Sage Lounge Chair Outdoor with Cushion = Rangka Kayu Jati | IHW =</t>
  </si>
  <si>
    <t>032L</t>
  </si>
  <si>
    <t>032L/EVI/052026</t>
  </si>
  <si>
    <t>SPK.0187L/INS/052026</t>
  </si>
  <si>
    <t>033L</t>
  </si>
  <si>
    <t>SPK.0193L/INS/052026</t>
  </si>
  <si>
    <t>037L</t>
  </si>
  <si>
    <t>SPK.0232L/INS/062026</t>
  </si>
  <si>
    <t>044E</t>
  </si>
  <si>
    <t>083/FO</t>
  </si>
  <si>
    <t>SPK.0540E/INS/052026</t>
  </si>
  <si>
    <t>BY01N13301SR1</t>
  </si>
  <si>
    <t>BYE - New Boston Chair Teak with wood Seat = Rangka Kayu Jati | IHW =</t>
  </si>
  <si>
    <t>BY01N03601SR2</t>
  </si>
  <si>
    <t>BYE - New Flinder Chair Natural = Rangka Kayu Jati | IHW =</t>
  </si>
  <si>
    <t>BY01N10411SR3</t>
  </si>
  <si>
    <t>BYE - New Bobby Chair Natural Teak with Cushion = Kaki Kayu Jati | IHW =</t>
  </si>
  <si>
    <t>BY04N04111SR1</t>
  </si>
  <si>
    <t>BYE - Bobby Counterstool with Cushion = Kaki Kayu Jati | IHW =</t>
  </si>
  <si>
    <t>045E</t>
  </si>
  <si>
    <t>SPK.0541E/INS/052026</t>
  </si>
  <si>
    <t>047E</t>
  </si>
  <si>
    <t>135/GO</t>
  </si>
  <si>
    <t>SPK.0544E/INS/052026</t>
  </si>
  <si>
    <t>BY01N08101SR2</t>
  </si>
  <si>
    <t>BYE - Sevilla Chair Teak = Rangka Kayu Jati | IHW =</t>
  </si>
  <si>
    <t>BY01N13501SR1</t>
  </si>
  <si>
    <t>BYE - Cardamom Dining Chair = Rangka Kayu Jati | IHW =</t>
  </si>
  <si>
    <t>BY01N13701SR1</t>
  </si>
  <si>
    <t>BYE - Ginger Dining Chair = Rangka Kayu Jati | IHW =</t>
  </si>
  <si>
    <t>048E</t>
  </si>
  <si>
    <t>122/UD</t>
  </si>
  <si>
    <t>SPK.0539E/INS/052026</t>
  </si>
  <si>
    <t>050E</t>
  </si>
  <si>
    <t>134/OB</t>
  </si>
  <si>
    <t>SPK.0543E/INS/052026</t>
  </si>
  <si>
    <t>058E</t>
  </si>
  <si>
    <t>SPK.0542E/INS/052026</t>
  </si>
  <si>
    <t>044L</t>
  </si>
  <si>
    <t>044L/EVI/062026</t>
  </si>
  <si>
    <t>SPK.0258L/INS/062026</t>
  </si>
  <si>
    <t>BY04N01401SR4</t>
  </si>
  <si>
    <t>BYE - Bobby Counterstool = Kaki Kayu Jati | IHW =</t>
  </si>
  <si>
    <t>052E</t>
  </si>
  <si>
    <t>SPK.0587E/INS/062026</t>
  </si>
  <si>
    <t>BY01N01801SR3</t>
  </si>
  <si>
    <t>BYE - Flevo Chair = Rangka Kayu Jati | IHW =</t>
  </si>
  <si>
    <t>SPK.0656E/INS/062026</t>
  </si>
  <si>
    <t>ECI - Strap Chair Light Brown Suede = Rangka Kayu Jati | IHW =</t>
  </si>
  <si>
    <t>049E</t>
  </si>
  <si>
    <t>049E/EVI/042026</t>
  </si>
  <si>
    <t>104/HV</t>
  </si>
  <si>
    <t>SPK.0745E/INS/072026</t>
  </si>
  <si>
    <t>063E</t>
  </si>
  <si>
    <t>063E/EVI/062026</t>
  </si>
  <si>
    <t>136/HP</t>
  </si>
  <si>
    <t>SPK.0734E/INS/062026</t>
  </si>
  <si>
    <t>BY01N14201SR1</t>
  </si>
  <si>
    <t>BYE - New Flinder Chair 2026 = Rangka Kayu Jati | IHW =</t>
  </si>
  <si>
    <t>BY01N14311SR1</t>
  </si>
  <si>
    <t>BYE - Bellamy Chair Teak = Rangka Kayu Jati + Plywood | IHW =</t>
  </si>
  <si>
    <t>066E</t>
  </si>
  <si>
    <t>SPK.0766E/INS/072026</t>
  </si>
  <si>
    <t>TC01N01601SR1SR2</t>
  </si>
  <si>
    <t>TNC - Provence Chair with Banana Seater = Rangka Kayu Jati | IHW =</t>
  </si>
  <si>
    <t>TC01N02501SR1</t>
  </si>
  <si>
    <t>TNC - New Flinder Chair 2026 = Rangka Kayu Jati | IHW =</t>
  </si>
  <si>
    <t>TC01N02601SR1</t>
  </si>
  <si>
    <t>TNC - Flinder Counterstool = Rangka Kayu Jati | IHW =</t>
  </si>
  <si>
    <t>047L</t>
  </si>
  <si>
    <t>SPK.0274L/INS/072026</t>
  </si>
  <si>
    <t>052L</t>
  </si>
  <si>
    <t>SPK.0304L/INS/082026</t>
  </si>
  <si>
    <t>BY01N07711SR3</t>
  </si>
  <si>
    <t>BYE - Provence Chair Teak Dark Brown with Cushion = Rangka Kayu Jati + Plywood | IHW =</t>
  </si>
  <si>
    <t>074E</t>
  </si>
  <si>
    <t>094/DO</t>
  </si>
  <si>
    <t>SPK.0873E/INS/082026</t>
  </si>
  <si>
    <t>BY02N04701SR2</t>
  </si>
  <si>
    <t>BYE - Paraguay Chair = Rangka Kayu Jati | IHW =</t>
  </si>
  <si>
    <t>076E</t>
  </si>
  <si>
    <t>SPK.0877E/INS/082026</t>
  </si>
  <si>
    <t>081E</t>
  </si>
  <si>
    <t>SPK.0893E/INS/082026</t>
  </si>
  <si>
    <t>055L</t>
  </si>
  <si>
    <t>SPK.0334L/INS/082026</t>
  </si>
  <si>
    <t>SPK.0970E/INS/082026</t>
  </si>
  <si>
    <t>SPK.0988E/INS/082026</t>
  </si>
  <si>
    <t>SPK.1003E/INS/082026</t>
  </si>
  <si>
    <t>057L</t>
  </si>
  <si>
    <t>SPK.0341L/INS/092026</t>
  </si>
  <si>
    <t>086E</t>
  </si>
  <si>
    <t>086E-A/EVI/082026</t>
  </si>
  <si>
    <t>SPK.1034E/INS/092026</t>
  </si>
  <si>
    <t>BY01B04601SR2</t>
  </si>
  <si>
    <t>BYE - Provence Chair Black Wood Seat = Rangka Kayu Sungkai | IHW =</t>
  </si>
  <si>
    <t>BY02B09001SR1</t>
  </si>
  <si>
    <t>BYE - Panther Chair Black Sungkai = Rangka Kayu Sungkai | IHW =</t>
  </si>
  <si>
    <t>086E-B/EVI/082026</t>
  </si>
  <si>
    <t>SPK.1035E/INS/092026</t>
  </si>
  <si>
    <t>060L</t>
  </si>
  <si>
    <t>SPK.0367L/INS/092026</t>
  </si>
  <si>
    <t>EC03N01111SR2</t>
  </si>
  <si>
    <t>ECI - Pacific Bench Outdoor Fabric = Rangka Kayu Jati + Plywood | IHW =</t>
  </si>
  <si>
    <t>EC03N00911SR2</t>
  </si>
  <si>
    <t>ECI - New Lego Sofa Outdoor Cushion = Rangka Kayu Jati + Plywood | IHW =</t>
  </si>
  <si>
    <t>EC02N01111SR3</t>
  </si>
  <si>
    <t>ECI - New Lego Chair Outdoor Cushion = Rangka Kayu Jati + Plywood | IHW =</t>
  </si>
  <si>
    <t>069E</t>
  </si>
  <si>
    <t>SPK.1133E/INS/102026</t>
  </si>
  <si>
    <t>RD01N00901SR4</t>
  </si>
  <si>
    <t>RDC - Alata Cabinet 4 Drawers = Rangka s/d Assy =</t>
  </si>
  <si>
    <t>095E</t>
  </si>
  <si>
    <t>SPK.1138E/INS/102026</t>
  </si>
  <si>
    <t>BY07N01601SR3</t>
  </si>
  <si>
    <t>BYE - Xavier Dining Table Teak with Wood Top D120 = Rangka Kayu Jati | IHW =</t>
  </si>
  <si>
    <t>BY07N03601SR2</t>
  </si>
  <si>
    <t>BYE - Xavier Dining Table Teak with Marble D110 = Rangka Kayu Jati | IHW =</t>
  </si>
  <si>
    <t>EC05N06601SR1</t>
  </si>
  <si>
    <t>ECI - Eastwood Table Round Marble Outdoor = Rangka Kayu Jati | IHW =</t>
  </si>
  <si>
    <t>SPK.1162E/INS/102026</t>
  </si>
  <si>
    <t>097E</t>
  </si>
  <si>
    <t>SPK.1172E/INS/102026</t>
  </si>
  <si>
    <t>PA01N00201SR3</t>
  </si>
  <si>
    <t>PMA - Provence Dining Chair Wood Seat Teak = Rangka Kayu Jati | IHW =</t>
  </si>
  <si>
    <t>Wood</t>
  </si>
  <si>
    <t>Stock (pcs)</t>
  </si>
  <si>
    <t>Stock (m³)</t>
  </si>
  <si>
    <t>Scenario 1</t>
  </si>
  <si>
    <t>Scenario 2</t>
  </si>
  <si>
    <t>1 Container 50/50</t>
  </si>
  <si>
    <t>1 Container Full</t>
  </si>
  <si>
    <t>Chairs</t>
  </si>
  <si>
    <t>Planks Needed</t>
  </si>
  <si>
    <t>Balance (pcs)</t>
  </si>
  <si>
    <t>Assume Backrests from 1 plank</t>
  </si>
  <si>
    <t>Backrest</t>
  </si>
  <si>
    <t>✓</t>
  </si>
  <si>
    <t>Mona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</si>
</sst>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dd\-mmm\-yy"/>
    <numFmt numFmtId="165" formatCode="0.000"/>
    <numFmt numFmtId="166" formatCode="dd\-mmm\-yyyy"/>
    <numFmt numFmtId="167" formatCode="#,##0.000;\(#,##0.000\);\-"/>
    <numFmt numFmtId="168" formatCode="#,##0;\(#,##0\);\-"/>
    <numFmt numFmtId="169" formatCode="0.0;\-0.0;"/>
    <numFmt numFmtId="170" formatCode="0.0%;\(0.0%\);\-"/>
    <numFmt numFmtId="171" formatCode="#,##0.000"/>
    <numFmt numFmtId="172" formatCode="0.0"/>
    <numFmt numFmtId="173" formatCode="0.000;\(0.000\);\-"/>
    <numFmt numFmtId="174" formatCode="#,##0.0;\(#,##0.0\);\-"/>
    <numFmt numFmtId="175" formatCode="0.0000"/>
    <numFmt numFmtId="176" formatCode="#,##0.000;\(#,##0.000\);&quot;-&quot;"/>
    <numFmt numFmtId="177" formatCode="yyyy\-mm\-dd"/>
    <numFmt numFmtId="178" formatCode="0.0&quot; cm&quot;"/>
    <numFmt numFmtId="179" formatCode="0.000;\(0.000\);&quot;-&quot;"/>
    <numFmt numFmtId="180" formatCode="#,##0.000000;\(#,##0.000000\);\-"/>
    <numFmt numFmtId="181" formatCode="0\ &quot;Container&quot;"/>
  </numFmts>
  <fonts count="37" x14ac:knownFonts="1">
    <font>
      <sz val="11"/>
      <color theme="1"/>
      <name val="Calibri"/>
      <family val="2"/>
      <charset val="1"/>
    </font>
    <font>
      <sz val="11"/>
      <color theme="1"/>
      <name val="Calibri"/>
      <family val="2"/>
      <scheme val="minor"/>
    </font>
    <font>
      <sz val="10"/>
      <color theme="1"/>
      <name val="Segoe UI"/>
      <family val="2"/>
    </font>
    <font>
      <b/>
      <sz val="10"/>
      <color theme="1"/>
      <name val="Segoe UI"/>
      <family val="2"/>
    </font>
    <font>
      <b/>
      <sz val="14"/>
      <name val="Segoe UI"/>
      <family val="2"/>
    </font>
    <font>
      <sz val="11"/>
      <color theme="1"/>
      <name val="Segoe UI"/>
      <family val="2"/>
    </font>
    <font>
      <i/>
      <sz val="10"/>
      <color rgb="FF595959"/>
      <name val="Segoe UI"/>
      <family val="2"/>
    </font>
    <font>
      <b/>
      <sz val="10"/>
      <name val="Segoe UI"/>
      <family val="2"/>
    </font>
    <font>
      <sz val="10"/>
      <name val="Segoe UI"/>
      <family val="2"/>
    </font>
    <font>
      <sz val="10"/>
      <color rgb="FF000000"/>
      <name val="Segoe UI"/>
      <family val="2"/>
    </font>
    <font>
      <b/>
      <sz val="10"/>
      <color rgb="FF000000"/>
      <name val="Segoe UI"/>
      <family val="2"/>
    </font>
    <font>
      <sz val="10"/>
      <color rgb="FF262626"/>
      <name val="Segoe UI"/>
      <family val="2"/>
    </font>
    <font>
      <b/>
      <sz val="10"/>
      <color rgb="FF262626"/>
      <name val="Segoe UI"/>
      <family val="2"/>
    </font>
    <font>
      <i/>
      <sz val="10"/>
      <color rgb="FF262626"/>
      <name val="Segoe UI"/>
      <family val="2"/>
    </font>
    <font>
      <i/>
      <sz val="10"/>
      <color rgb="FF7F7F7F"/>
      <name val="Segoe UI"/>
      <family val="2"/>
    </font>
    <font>
      <b/>
      <i/>
      <sz val="10"/>
      <color rgb="FF7F7F7F"/>
      <name val="Segoe UI"/>
      <family val="2"/>
    </font>
    <font>
      <b/>
      <sz val="12"/>
      <color rgb="FF000000"/>
      <name val="Segoe UI"/>
      <family val="2"/>
    </font>
    <font>
      <sz val="10"/>
      <color rgb="FF404040"/>
      <name val="Segoe UI"/>
      <family val="2"/>
    </font>
    <font>
      <i/>
      <sz val="9"/>
      <color rgb="FF7F7F7F"/>
      <name val="Segoe UI"/>
      <family val="2"/>
    </font>
    <font>
      <sz val="9"/>
      <color rgb="FF595959"/>
      <name val="Segoe UI"/>
      <family val="2"/>
    </font>
    <font>
      <b/>
      <sz val="9"/>
      <color rgb="FF595959"/>
      <name val="Segoe UI"/>
      <family val="2"/>
    </font>
    <font>
      <b/>
      <i/>
      <sz val="10"/>
      <color rgb="FF262626"/>
      <name val="Segoe UI"/>
      <family val="2"/>
    </font>
    <font>
      <b/>
      <sz val="11"/>
      <color theme="1"/>
      <name val="Calibri"/>
      <family val="2"/>
      <charset val="1"/>
    </font>
    <font>
      <b/>
      <sz val="9"/>
      <color rgb="FFFFFFFF"/>
      <name val="Arial"/>
      <family val="2"/>
    </font>
    <font>
      <b/>
      <sz val="8"/>
      <color rgb="FF6B7A82"/>
      <name val="Arial"/>
      <family val="2"/>
    </font>
    <font>
      <sz val="9"/>
      <color rgb="FF1B2A33"/>
      <name val="Arial"/>
      <family val="2"/>
    </font>
    <font>
      <sz val="9"/>
      <color rgb="FF6B7A82"/>
      <name val="Arial"/>
      <family val="2"/>
    </font>
    <font>
      <b/>
      <sz val="16"/>
      <color rgb="FF2D2D2D"/>
      <name val="Segoe UI"/>
      <family val="2"/>
    </font>
    <font>
      <b/>
      <sz val="11"/>
      <color rgb="FFD04A02"/>
      <name val="Segoe UI"/>
      <family val="2"/>
    </font>
    <font>
      <b/>
      <sz val="10"/>
      <color rgb="FFD04A02"/>
      <name val="Segoe UI"/>
      <family val="2"/>
    </font>
    <font>
      <sz val="10"/>
      <color rgb="FF262626"/>
      <name val="Segoe UI"/>
      <family val="2"/>
    </font>
    <font>
      <sz val="10"/>
      <color rgb="FF000000"/>
      <name val="Segoe UI"/>
      <family val="2"/>
    </font>
    <font>
      <i/>
      <sz val="9"/>
      <color rgb="FF7F7F7F"/>
      <name val="Segoe UI"/>
      <family val="2"/>
    </font>
    <font>
      <sz val="10"/>
      <color theme="1"/>
      <name val="Segoe UI"/>
      <family val="2"/>
    </font>
    <font>
      <b/>
      <sz val="12"/>
      <color rgb="FF262626"/>
      <name val="Segoe UI"/>
      <family val="2"/>
    </font>
    <font>
      <b/>
      <sz val="12"/>
      <name val="Segoe UI"/>
      <family val="2"/>
    </font>
    <font>
      <sz val="9"/>
      <name val="Segoe UI"/>
      <family val="2"/>
    </font>
  </fonts>
  <fills count="17">
    <fill>
      <patternFill patternType="none"/>
    </fill>
    <fill>
      <patternFill patternType="gray125"/>
    </fill>
    <fill>
      <patternFill patternType="solid">
        <fgColor rgb="FFD9D9D9"/>
        <bgColor rgb="FFC0C0C0"/>
      </patternFill>
    </fill>
    <fill>
      <patternFill patternType="solid">
        <fgColor rgb="FFD9D9D9"/>
        <bgColor indexed="64"/>
      </patternFill>
    </fill>
    <fill>
      <patternFill patternType="solid">
        <fgColor rgb="FFFFFF00"/>
        <bgColor indexed="64"/>
      </patternFill>
    </fill>
    <fill>
      <patternFill patternType="solid">
        <fgColor rgb="FFF2F2F2"/>
        <bgColor indexed="64"/>
      </patternFill>
    </fill>
    <fill>
      <patternFill patternType="solid">
        <fgColor theme="0"/>
        <bgColor indexed="64"/>
      </patternFill>
    </fill>
    <fill>
      <patternFill patternType="solid">
        <fgColor rgb="FFBFBFBF"/>
        <bgColor indexed="64"/>
      </patternFill>
    </fill>
    <fill>
      <patternFill patternType="solid">
        <fgColor rgb="FFE7E6E6"/>
        <bgColor indexed="64"/>
      </patternFill>
    </fill>
    <fill>
      <patternFill patternType="solid">
        <fgColor rgb="FF23414F"/>
        <bgColor rgb="FF1B2A33"/>
      </patternFill>
    </fill>
    <fill>
      <patternFill patternType="solid">
        <fgColor rgb="FFF4B084"/>
        <bgColor indexed="64"/>
      </patternFill>
    </fill>
    <fill>
      <patternFill patternType="solid">
        <fgColor rgb="FFFFC7CE"/>
        <bgColor indexed="64"/>
      </patternFill>
    </fill>
    <fill>
      <patternFill patternType="solid">
        <fgColor theme="9" tint="-0.249977111117893"/>
        <bgColor rgb="FFFF9900"/>
      </patternFill>
    </fill>
    <fill>
      <patternFill patternType="solid">
        <fgColor rgb="FF7030A0"/>
        <bgColor rgb="FF993366"/>
      </patternFill>
    </fill>
    <fill>
      <patternFill patternType="solid">
        <fgColor theme="0"/>
        <bgColor rgb="FFFFFF00"/>
      </patternFill>
    </fill>
    <fill>
      <patternFill patternType="solid">
        <fgColor rgb="FFD9D9D9"/>
      </patternFill>
    </fill>
    <fill>
      <patternFill patternType="solid">
        <fgColor rgb="FFF2F2F2"/>
      </patternFill>
    </fill>
  </fills>
  <borders count="56">
    <border>
      <left/>
      <right/>
      <top/>
      <bottom/>
      <diagonal/>
    </border>
    <border>
      <left/>
      <right/>
      <top/>
      <bottom style="thin">
        <color rgb="FF808080"/>
      </bottom>
      <diagonal/>
    </border>
    <border>
      <left/>
      <right/>
      <top style="thin">
        <color rgb="FF808080"/>
      </top>
      <bottom/>
      <diagonal/>
    </border>
    <border>
      <left/>
      <right/>
      <top/>
      <bottom style="thin">
        <color rgb="FFD9D9D9"/>
      </bottom>
      <diagonal/>
    </border>
    <border>
      <left/>
      <right/>
      <top style="thin">
        <color rgb="FFD9D9D9"/>
      </top>
      <bottom style="thin">
        <color rgb="FFD9D9D9"/>
      </bottom>
      <diagonal/>
    </border>
    <border>
      <left/>
      <right/>
      <top style="thin">
        <color rgb="FF808080"/>
      </top>
      <bottom style="thin">
        <color rgb="FFE7E6E6"/>
      </bottom>
      <diagonal/>
    </border>
    <border>
      <left/>
      <right/>
      <top style="thin">
        <color rgb="FFE7E6E6"/>
      </top>
      <bottom style="thin">
        <color rgb="FFE7E6E6"/>
      </bottom>
      <diagonal/>
    </border>
    <border>
      <left/>
      <right/>
      <top/>
      <bottom style="thin">
        <color rgb="FFE7E6E6"/>
      </bottom>
      <diagonal/>
    </border>
    <border>
      <left/>
      <right/>
      <top style="thin">
        <color rgb="FFE7E6E6"/>
      </top>
      <bottom/>
      <diagonal/>
    </border>
    <border>
      <left/>
      <right/>
      <top style="thin">
        <color rgb="FF808080"/>
      </top>
      <bottom style="thin">
        <color rgb="FF808080"/>
      </bottom>
      <diagonal/>
    </border>
    <border>
      <left style="thin">
        <color rgb="FFA6A6A6"/>
      </left>
      <right style="thin">
        <color rgb="FFA6A6A6"/>
      </right>
      <top style="medium">
        <color rgb="FF595959"/>
      </top>
      <bottom style="thin">
        <color rgb="FFA6A6A6"/>
      </bottom>
      <diagonal/>
    </border>
    <border>
      <left style="thin">
        <color rgb="FFA6A6A6"/>
      </left>
      <right/>
      <top/>
      <bottom/>
      <diagonal/>
    </border>
    <border>
      <left style="thin">
        <color rgb="FFA6A6A6"/>
      </left>
      <right/>
      <top style="medium">
        <color rgb="FF595959"/>
      </top>
      <bottom/>
      <diagonal/>
    </border>
    <border>
      <left style="thin">
        <color rgb="FFA6A6A6"/>
      </left>
      <right style="thin">
        <color rgb="FFA6A6A6"/>
      </right>
      <top style="thin">
        <color rgb="FFA6A6A6"/>
      </top>
      <bottom/>
      <diagonal/>
    </border>
    <border>
      <left style="thin">
        <color rgb="FFA6A6A6"/>
      </left>
      <right/>
      <top style="thin">
        <color rgb="FFA6A6A6"/>
      </top>
      <bottom/>
      <diagonal/>
    </border>
    <border>
      <left/>
      <right/>
      <top style="medium">
        <color rgb="FF595959"/>
      </top>
      <bottom style="thin">
        <color rgb="FFE7E6E6"/>
      </bottom>
      <diagonal/>
    </border>
    <border>
      <left/>
      <right style="thin">
        <color rgb="FFD9D9D9"/>
      </right>
      <top style="medium">
        <color rgb="FF595959"/>
      </top>
      <bottom style="thin">
        <color rgb="FFE7E6E6"/>
      </bottom>
      <diagonal/>
    </border>
    <border>
      <left/>
      <right style="thin">
        <color rgb="FFD9D9D9"/>
      </right>
      <top style="thin">
        <color rgb="FFE7E6E6"/>
      </top>
      <bottom style="thin">
        <color rgb="FFE7E6E6"/>
      </bottom>
      <diagonal/>
    </border>
    <border>
      <left/>
      <right style="thin">
        <color rgb="FFD9D9D9"/>
      </right>
      <top/>
      <bottom/>
      <diagonal/>
    </border>
    <border>
      <left/>
      <right style="thin">
        <color rgb="FFD9D9D9"/>
      </right>
      <top/>
      <bottom style="thin">
        <color rgb="FFE7E6E6"/>
      </bottom>
      <diagonal/>
    </border>
    <border>
      <left/>
      <right style="thin">
        <color rgb="FFD9D9D9"/>
      </right>
      <top style="thin">
        <color rgb="FFE7E6E6"/>
      </top>
      <bottom/>
      <diagonal/>
    </border>
    <border>
      <left/>
      <right style="thin">
        <color rgb="FFD9D9D9"/>
      </right>
      <top style="thin">
        <color rgb="FF808080"/>
      </top>
      <bottom style="thin">
        <color rgb="FF808080"/>
      </bottom>
      <diagonal/>
    </border>
    <border>
      <left/>
      <right/>
      <top style="medium">
        <color rgb="FF595959"/>
      </top>
      <bottom style="double">
        <color rgb="FF595959"/>
      </bottom>
      <diagonal/>
    </border>
    <border>
      <left/>
      <right style="thin">
        <color rgb="FFD9D9D9"/>
      </right>
      <top style="medium">
        <color rgb="FF595959"/>
      </top>
      <bottom style="double">
        <color rgb="FF595959"/>
      </bottom>
      <diagonal/>
    </border>
    <border>
      <left/>
      <right/>
      <top/>
      <bottom style="thin">
        <color rgb="FFA6A6A6"/>
      </bottom>
      <diagonal/>
    </border>
    <border>
      <left style="thin">
        <color rgb="FFD9D9D9"/>
      </left>
      <right style="thin">
        <color rgb="FFD9D9D9"/>
      </right>
      <top style="thin">
        <color rgb="FFE7E6E6"/>
      </top>
      <bottom style="thin">
        <color rgb="FFE7E6E6"/>
      </bottom>
      <diagonal/>
    </border>
    <border>
      <left style="thin">
        <color rgb="FFD9D9D9"/>
      </left>
      <right/>
      <top style="thin">
        <color rgb="FFE7E6E6"/>
      </top>
      <bottom style="thin">
        <color rgb="FFE7E6E6"/>
      </bottom>
      <diagonal/>
    </border>
    <border>
      <left style="thin">
        <color rgb="FFD9D9D9"/>
      </left>
      <right/>
      <top style="thin">
        <color rgb="FFE7E6E6"/>
      </top>
      <bottom/>
      <diagonal/>
    </border>
    <border>
      <left style="thin">
        <color rgb="FFD9D9D9"/>
      </left>
      <right style="thin">
        <color rgb="FFD9D9D9"/>
      </right>
      <top style="thin">
        <color rgb="FFE7E6E6"/>
      </top>
      <bottom/>
      <diagonal/>
    </border>
    <border>
      <left style="thin">
        <color rgb="FFD9D9D9"/>
      </left>
      <right/>
      <top/>
      <bottom style="thin">
        <color rgb="FFE7E6E6"/>
      </bottom>
      <diagonal/>
    </border>
    <border>
      <left style="thin">
        <color rgb="FFD9D9D9"/>
      </left>
      <right style="thin">
        <color rgb="FFD9D9D9"/>
      </right>
      <top/>
      <bottom style="thin">
        <color rgb="FFE7E6E6"/>
      </bottom>
      <diagonal/>
    </border>
    <border>
      <left style="thin">
        <color rgb="FFBFBFBF"/>
      </left>
      <right style="thin">
        <color rgb="FFBFBFBF"/>
      </right>
      <top style="thin">
        <color rgb="FFBFBFBF"/>
      </top>
      <bottom style="thin">
        <color rgb="FFBFBFBF"/>
      </bottom>
      <diagonal/>
    </border>
    <border>
      <left/>
      <right/>
      <top/>
      <bottom style="thin">
        <color auto="1"/>
      </bottom>
      <diagonal/>
    </border>
    <border>
      <left/>
      <right/>
      <top/>
      <bottom style="thick">
        <color rgb="FFD04A02"/>
      </bottom>
      <diagonal/>
    </border>
    <border>
      <left/>
      <right/>
      <top style="medium">
        <color rgb="FF595959"/>
      </top>
      <bottom style="medium">
        <color rgb="FFD04A02"/>
      </bottom>
      <diagonal/>
    </border>
    <border>
      <left/>
      <right/>
      <top/>
      <bottom style="medium">
        <color rgb="FFD04A02"/>
      </bottom>
      <diagonal/>
    </border>
    <border>
      <left/>
      <right/>
      <top style="thin">
        <color rgb="FFA6A6A6"/>
      </top>
      <bottom style="medium">
        <color rgb="FFD04A02"/>
      </bottom>
      <diagonal/>
    </border>
    <border>
      <left/>
      <right/>
      <top style="thin">
        <color rgb="FF808080"/>
      </top>
      <bottom style="medium">
        <color rgb="FFD04A02"/>
      </bottom>
      <diagonal/>
    </border>
    <border>
      <left style="thin">
        <color rgb="FFD9D9D9"/>
      </left>
      <right/>
      <top style="thin">
        <color rgb="FF808080"/>
      </top>
      <bottom style="medium">
        <color rgb="FFD04A02"/>
      </bottom>
      <diagonal/>
    </border>
    <border>
      <left style="thin">
        <color rgb="FFD9D9D9"/>
      </left>
      <right style="thin">
        <color rgb="FFD9D9D9"/>
      </right>
      <top style="thin">
        <color rgb="FF808080"/>
      </top>
      <bottom style="medium">
        <color rgb="FFD04A02"/>
      </bottom>
      <diagonal/>
    </border>
    <border>
      <left style="thin">
        <color rgb="FFD9D9D9"/>
      </left>
      <right/>
      <top/>
      <bottom style="medium">
        <color rgb="FFD04A02"/>
      </bottom>
      <diagonal/>
    </border>
    <border>
      <left style="thin">
        <color rgb="FFD9D9D9"/>
      </left>
      <right style="thin">
        <color rgb="FFD9D9D9"/>
      </right>
      <top/>
      <bottom style="medium">
        <color rgb="FFD04A02"/>
      </bottom>
      <diagonal/>
    </border>
    <border>
      <left/>
      <right style="thin">
        <color rgb="FFD9D9D9"/>
      </right>
      <top style="thin">
        <color rgb="FF808080"/>
      </top>
      <bottom style="medium">
        <color rgb="FFD04A02"/>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808080"/>
      </right>
      <top style="thin">
        <color rgb="FFD9D9D9"/>
      </top>
      <bottom style="thin">
        <color rgb="FFD9D9D9"/>
      </bottom>
      <diagonal/>
    </border>
    <border>
      <left/>
      <right style="thin">
        <color rgb="FFA6A6A6"/>
      </right>
      <top style="medium">
        <color rgb="FF595959"/>
      </top>
      <bottom style="thin">
        <color rgb="FFA6A6A6"/>
      </bottom>
      <diagonal/>
    </border>
    <border>
      <left style="thin">
        <color rgb="FFA6A6A6"/>
      </left>
      <right style="thin">
        <color rgb="FFA6A6A6"/>
      </right>
      <top/>
      <bottom style="thin">
        <color rgb="FFA6A6A6"/>
      </bottom>
      <diagonal/>
    </border>
    <border>
      <left/>
      <right/>
      <top style="thin">
        <color rgb="FFBFBFBF"/>
      </top>
      <bottom style="thin">
        <color rgb="FFBFBFBF"/>
      </bottom>
      <diagonal/>
    </border>
    <border>
      <left style="thin">
        <color rgb="FFBFBFBF"/>
      </left>
      <right style="thin">
        <color rgb="FFBFBFBF"/>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2">
    <xf numFmtId="0" fontId="0" fillId="0" borderId="51"/>
    <xf numFmtId="0" fontId="1" fillId="0" borderId="51"/>
  </cellStyleXfs>
  <cellXfs count="327">
    <xf numFmtId="0" fontId="0" fillId="0" borderId="0" xfId="0" applyBorder="1"/>
    <xf numFmtId="0" fontId="2" fillId="0" borderId="0" xfId="0" applyFont="1" applyBorder="1"/>
    <xf numFmtId="0" fontId="3" fillId="3" borderId="0" xfId="0" applyFont="1" applyFill="1" applyBorder="1"/>
    <xf numFmtId="164" fontId="2" fillId="0" borderId="0" xfId="0" applyNumberFormat="1" applyFont="1" applyBorder="1"/>
    <xf numFmtId="165" fontId="2" fillId="0" borderId="0" xfId="0" applyNumberFormat="1" applyFont="1" applyBorder="1"/>
    <xf numFmtId="0" fontId="0" fillId="0" borderId="0" xfId="0" applyBorder="1" applyAlignment="1">
      <alignment vertical="center" wrapText="1"/>
    </xf>
    <xf numFmtId="0" fontId="4" fillId="0" borderId="0" xfId="0" applyFont="1" applyBorder="1"/>
    <xf numFmtId="0" fontId="5" fillId="0" borderId="0" xfId="0" applyFont="1" applyBorder="1"/>
    <xf numFmtId="0" fontId="6" fillId="0" borderId="0" xfId="0" applyFont="1" applyBorder="1"/>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8" fillId="0" borderId="0" xfId="0" applyFont="1" applyBorder="1" applyAlignment="1">
      <alignment horizontal="center"/>
    </xf>
    <xf numFmtId="166" fontId="8" fillId="0" borderId="0" xfId="0" applyNumberFormat="1" applyFont="1" applyBorder="1" applyAlignment="1">
      <alignment horizontal="center"/>
    </xf>
    <xf numFmtId="167" fontId="8" fillId="0" borderId="0" xfId="0" applyNumberFormat="1" applyFont="1" applyBorder="1"/>
    <xf numFmtId="0" fontId="8" fillId="0" borderId="0" xfId="0" applyFont="1" applyBorder="1"/>
    <xf numFmtId="168" fontId="8" fillId="0" borderId="0" xfId="0" applyNumberFormat="1" applyFont="1" applyBorder="1"/>
    <xf numFmtId="0" fontId="11" fillId="0" borderId="0" xfId="0" applyFont="1" applyBorder="1" applyAlignment="1">
      <alignment vertical="center"/>
    </xf>
    <xf numFmtId="0" fontId="13" fillId="0" borderId="0" xfId="0" applyFont="1" applyBorder="1" applyAlignment="1">
      <alignment vertical="center"/>
    </xf>
    <xf numFmtId="0" fontId="14" fillId="0" borderId="0" xfId="0" applyFont="1" applyBorder="1" applyAlignment="1">
      <alignment horizontal="left" vertical="center" indent="1"/>
    </xf>
    <xf numFmtId="0" fontId="9" fillId="0" borderId="0" xfId="0" applyFont="1" applyBorder="1"/>
    <xf numFmtId="0" fontId="16" fillId="0" borderId="0" xfId="0" applyFont="1" applyBorder="1"/>
    <xf numFmtId="0" fontId="10" fillId="3" borderId="0" xfId="0" applyFont="1" applyFill="1" applyBorder="1" applyAlignment="1">
      <alignment horizontal="center" vertical="center" wrapText="1"/>
    </xf>
    <xf numFmtId="0" fontId="10" fillId="3" borderId="0" xfId="0" applyFont="1" applyFill="1" applyBorder="1" applyAlignment="1">
      <alignment horizontal="left" vertical="center" wrapText="1"/>
    </xf>
    <xf numFmtId="0" fontId="9" fillId="0" borderId="5" xfId="0" applyFont="1" applyBorder="1" applyAlignment="1">
      <alignment horizontal="center" vertical="center"/>
    </xf>
    <xf numFmtId="167" fontId="9" fillId="0" borderId="5" xfId="0" applyNumberFormat="1" applyFont="1" applyBorder="1" applyAlignment="1">
      <alignment vertical="center"/>
    </xf>
    <xf numFmtId="0" fontId="9" fillId="0" borderId="5" xfId="0" applyFont="1" applyBorder="1" applyAlignment="1">
      <alignment vertical="center"/>
    </xf>
    <xf numFmtId="0" fontId="9" fillId="0" borderId="6" xfId="0" applyFont="1" applyBorder="1" applyAlignment="1">
      <alignment horizontal="center" vertical="center"/>
    </xf>
    <xf numFmtId="167" fontId="9" fillId="0" borderId="6" xfId="0" applyNumberFormat="1" applyFont="1" applyBorder="1" applyAlignment="1">
      <alignment vertical="center"/>
    </xf>
    <xf numFmtId="0" fontId="9" fillId="0" borderId="6" xfId="0" applyFont="1" applyBorder="1" applyAlignment="1">
      <alignment vertical="center"/>
    </xf>
    <xf numFmtId="164" fontId="9" fillId="0" borderId="5" xfId="0" applyNumberFormat="1" applyFont="1" applyBorder="1" applyAlignment="1">
      <alignment horizontal="center" vertical="center"/>
    </xf>
    <xf numFmtId="164" fontId="9" fillId="0" borderId="6" xfId="0" applyNumberFormat="1" applyFont="1" applyBorder="1" applyAlignment="1">
      <alignment horizontal="center"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169" fontId="9" fillId="0" borderId="5" xfId="0" applyNumberFormat="1" applyFont="1" applyBorder="1" applyAlignment="1">
      <alignment horizontal="center" vertical="center"/>
    </xf>
    <xf numFmtId="169" fontId="9" fillId="0" borderId="6" xfId="0" applyNumberFormat="1" applyFont="1" applyBorder="1" applyAlignment="1">
      <alignment horizontal="center" vertical="center"/>
    </xf>
    <xf numFmtId="168" fontId="9" fillId="0" borderId="5" xfId="0" applyNumberFormat="1" applyFont="1" applyBorder="1" applyAlignment="1">
      <alignment horizontal="center" vertical="center"/>
    </xf>
    <xf numFmtId="168" fontId="9" fillId="0" borderId="6" xfId="0" applyNumberFormat="1" applyFont="1" applyBorder="1" applyAlignment="1">
      <alignment horizontal="center" vertical="center"/>
    </xf>
    <xf numFmtId="0" fontId="10" fillId="3" borderId="3" xfId="0" applyFont="1" applyFill="1" applyBorder="1" applyAlignment="1">
      <alignment horizontal="right"/>
    </xf>
    <xf numFmtId="167" fontId="9" fillId="0" borderId="4" xfId="0" applyNumberFormat="1" applyFont="1" applyBorder="1" applyAlignment="1">
      <alignment horizontal="right"/>
    </xf>
    <xf numFmtId="170" fontId="9" fillId="0" borderId="4" xfId="0" applyNumberFormat="1" applyFont="1" applyBorder="1" applyAlignment="1">
      <alignment horizontal="right"/>
    </xf>
    <xf numFmtId="167" fontId="10" fillId="5" borderId="4" xfId="0" applyNumberFormat="1" applyFont="1" applyFill="1" applyBorder="1" applyAlignment="1">
      <alignment horizontal="right"/>
    </xf>
    <xf numFmtId="167" fontId="10" fillId="0" borderId="4" xfId="0" applyNumberFormat="1" applyFont="1" applyBorder="1" applyAlignment="1">
      <alignment horizontal="right"/>
    </xf>
    <xf numFmtId="170" fontId="10" fillId="0" borderId="4" xfId="0" applyNumberFormat="1" applyFont="1" applyBorder="1" applyAlignment="1">
      <alignment horizontal="right"/>
    </xf>
    <xf numFmtId="0" fontId="9" fillId="4" borderId="6" xfId="0" applyFont="1" applyFill="1" applyBorder="1" applyAlignment="1">
      <alignment horizontal="center" vertical="center"/>
    </xf>
    <xf numFmtId="164" fontId="9" fillId="4" borderId="6" xfId="0" applyNumberFormat="1" applyFont="1" applyFill="1" applyBorder="1" applyAlignment="1">
      <alignment horizontal="center" vertical="center"/>
    </xf>
    <xf numFmtId="0" fontId="9" fillId="4" borderId="6" xfId="0" applyFont="1" applyFill="1" applyBorder="1" applyAlignment="1">
      <alignment horizontal="left" vertical="center"/>
    </xf>
    <xf numFmtId="168" fontId="9" fillId="4" borderId="6" xfId="0" applyNumberFormat="1" applyFont="1" applyFill="1" applyBorder="1" applyAlignment="1">
      <alignment horizontal="center" vertical="center"/>
    </xf>
    <xf numFmtId="167" fontId="9" fillId="4" borderId="6" xfId="0" applyNumberFormat="1" applyFont="1" applyFill="1" applyBorder="1" applyAlignment="1">
      <alignment vertical="center"/>
    </xf>
    <xf numFmtId="0" fontId="9" fillId="4" borderId="6" xfId="0" applyFont="1" applyFill="1" applyBorder="1" applyAlignment="1">
      <alignment vertical="center"/>
    </xf>
    <xf numFmtId="49" fontId="8" fillId="0" borderId="0" xfId="0" applyNumberFormat="1" applyFont="1" applyBorder="1"/>
    <xf numFmtId="0" fontId="8" fillId="0" borderId="0" xfId="0" applyFont="1" applyBorder="1" applyAlignment="1">
      <alignment horizontal="center" vertical="center"/>
    </xf>
    <xf numFmtId="166" fontId="8" fillId="0" borderId="0" xfId="0" applyNumberFormat="1" applyFont="1" applyBorder="1" applyAlignment="1">
      <alignment horizontal="center" vertical="center"/>
    </xf>
    <xf numFmtId="0" fontId="8" fillId="0" borderId="0" xfId="0" applyFont="1" applyBorder="1" applyAlignment="1">
      <alignment vertical="center"/>
    </xf>
    <xf numFmtId="167" fontId="8" fillId="0" borderId="0" xfId="0" applyNumberFormat="1" applyFont="1" applyBorder="1" applyAlignment="1">
      <alignment vertical="center"/>
    </xf>
    <xf numFmtId="168" fontId="8" fillId="0" borderId="0" xfId="0" applyNumberFormat="1" applyFont="1" applyBorder="1" applyAlignment="1">
      <alignment vertical="center"/>
    </xf>
    <xf numFmtId="49" fontId="8" fillId="0" borderId="0" xfId="0" applyNumberFormat="1" applyFont="1" applyBorder="1" applyAlignment="1">
      <alignment vertical="center"/>
    </xf>
    <xf numFmtId="0" fontId="7" fillId="5" borderId="0" xfId="0" applyFont="1" applyFill="1" applyBorder="1" applyAlignment="1">
      <alignment horizontal="center"/>
    </xf>
    <xf numFmtId="0" fontId="7" fillId="5" borderId="0" xfId="0" applyFont="1" applyFill="1" applyBorder="1"/>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171" fontId="7" fillId="5" borderId="0" xfId="0" applyNumberFormat="1" applyFont="1" applyFill="1" applyBorder="1"/>
    <xf numFmtId="3" fontId="7" fillId="5" borderId="0" xfId="0" applyNumberFormat="1" applyFont="1" applyFill="1" applyBorder="1"/>
    <xf numFmtId="0" fontId="9" fillId="0" borderId="7" xfId="0" applyFont="1" applyBorder="1" applyAlignment="1">
      <alignment vertical="center"/>
    </xf>
    <xf numFmtId="0" fontId="9" fillId="0" borderId="8" xfId="0" applyFont="1" applyBorder="1" applyAlignment="1">
      <alignment vertical="center"/>
    </xf>
    <xf numFmtId="0" fontId="10" fillId="3" borderId="1" xfId="0" applyFont="1" applyFill="1" applyBorder="1" applyAlignment="1">
      <alignment horizontal="center" vertical="center" wrapText="1"/>
    </xf>
    <xf numFmtId="0" fontId="3" fillId="3" borderId="0" xfId="0" applyFont="1" applyFill="1" applyBorder="1" applyAlignment="1">
      <alignment horizontal="center" vertical="center"/>
    </xf>
    <xf numFmtId="16" fontId="3" fillId="3" borderId="0" xfId="0" applyNumberFormat="1" applyFont="1" applyFill="1" applyBorder="1" applyAlignment="1">
      <alignment horizontal="center" vertical="center"/>
    </xf>
    <xf numFmtId="0" fontId="2" fillId="0" borderId="0" xfId="0" applyFont="1" applyBorder="1" applyAlignment="1">
      <alignment vertical="center"/>
    </xf>
    <xf numFmtId="164"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3" fillId="3" borderId="0" xfId="0" applyFont="1" applyFill="1" applyBorder="1" applyAlignment="1">
      <alignment vertical="center"/>
    </xf>
    <xf numFmtId="0" fontId="3" fillId="3" borderId="0" xfId="0" applyFont="1" applyFill="1" applyBorder="1" applyAlignment="1">
      <alignment horizontal="right" vertical="center"/>
    </xf>
    <xf numFmtId="165" fontId="2" fillId="0" borderId="0" xfId="0" applyNumberFormat="1" applyFont="1" applyBorder="1" applyAlignment="1">
      <alignment horizontal="right" vertical="center"/>
    </xf>
    <xf numFmtId="0" fontId="3" fillId="5" borderId="0" xfId="0" applyFont="1" applyFill="1" applyBorder="1" applyAlignment="1">
      <alignment vertical="center"/>
    </xf>
    <xf numFmtId="165" fontId="3" fillId="5" borderId="0" xfId="0" applyNumberFormat="1" applyFont="1" applyFill="1" applyBorder="1" applyAlignment="1">
      <alignment horizontal="right" vertical="center"/>
    </xf>
    <xf numFmtId="0" fontId="3" fillId="5" borderId="0" xfId="0" applyFont="1" applyFill="1" applyBorder="1" applyAlignment="1">
      <alignment horizontal="center" vertical="center"/>
    </xf>
    <xf numFmtId="0" fontId="3" fillId="3" borderId="0" xfId="0" applyFont="1" applyFill="1" applyBorder="1" applyAlignment="1">
      <alignment horizontal="left" vertical="center"/>
    </xf>
    <xf numFmtId="0" fontId="2" fillId="0" borderId="0" xfId="0" applyFont="1" applyBorder="1" applyAlignment="1">
      <alignment horizontal="left" vertical="center"/>
    </xf>
    <xf numFmtId="0" fontId="5" fillId="3" borderId="0" xfId="0" applyFont="1" applyFill="1" applyBorder="1"/>
    <xf numFmtId="0" fontId="5" fillId="5" borderId="0" xfId="0" applyFont="1" applyFill="1" applyBorder="1"/>
    <xf numFmtId="0" fontId="0" fillId="0" borderId="0" xfId="0" applyBorder="1" applyAlignment="1">
      <alignment vertical="top"/>
    </xf>
    <xf numFmtId="0" fontId="5" fillId="0" borderId="0" xfId="0" applyFont="1" applyBorder="1" applyAlignment="1">
      <alignment vertical="top"/>
    </xf>
    <xf numFmtId="172" fontId="11" fillId="0" borderId="0" xfId="0" applyNumberFormat="1" applyFont="1" applyBorder="1" applyAlignment="1">
      <alignment horizontal="center" vertical="center"/>
    </xf>
    <xf numFmtId="0" fontId="11" fillId="0" borderId="0" xfId="0" applyFont="1" applyBorder="1" applyAlignment="1">
      <alignment horizontal="left" vertical="center" indent="1"/>
    </xf>
    <xf numFmtId="0" fontId="11" fillId="0" borderId="0" xfId="0" applyFont="1" applyBorder="1" applyAlignment="1">
      <alignment horizontal="right" vertical="center" indent="1"/>
    </xf>
    <xf numFmtId="0" fontId="17" fillId="8" borderId="13"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1" fillId="0" borderId="15" xfId="0" applyFont="1" applyBorder="1" applyAlignment="1">
      <alignment horizontal="left" vertical="center" indent="1"/>
    </xf>
    <xf numFmtId="172" fontId="11" fillId="0" borderId="15" xfId="0" applyNumberFormat="1" applyFont="1" applyBorder="1" applyAlignment="1">
      <alignment horizontal="center" vertical="center"/>
    </xf>
    <xf numFmtId="168" fontId="11" fillId="0" borderId="15" xfId="0" applyNumberFormat="1" applyFont="1" applyBorder="1" applyAlignment="1">
      <alignment horizontal="right" vertical="center" indent="1"/>
    </xf>
    <xf numFmtId="0" fontId="11" fillId="0" borderId="6" xfId="0" applyFont="1" applyBorder="1" applyAlignment="1">
      <alignment horizontal="left" vertical="center" indent="1"/>
    </xf>
    <xf numFmtId="172" fontId="11" fillId="0" borderId="6" xfId="0" applyNumberFormat="1" applyFont="1" applyBorder="1" applyAlignment="1">
      <alignment horizontal="center" vertical="center"/>
    </xf>
    <xf numFmtId="168" fontId="11" fillId="0" borderId="6" xfId="0" applyNumberFormat="1" applyFont="1" applyBorder="1" applyAlignment="1">
      <alignment horizontal="right" vertical="center" indent="1"/>
    </xf>
    <xf numFmtId="0" fontId="11" fillId="0" borderId="6" xfId="0" applyFont="1" applyBorder="1" applyAlignment="1">
      <alignment vertical="center"/>
    </xf>
    <xf numFmtId="0" fontId="11" fillId="0" borderId="7" xfId="0" applyFont="1" applyBorder="1" applyAlignment="1">
      <alignment horizontal="left" vertical="center" indent="1"/>
    </xf>
    <xf numFmtId="172" fontId="11" fillId="0" borderId="7" xfId="0" applyNumberFormat="1" applyFont="1" applyBorder="1" applyAlignment="1">
      <alignment horizontal="center" vertical="center"/>
    </xf>
    <xf numFmtId="168" fontId="11" fillId="0" borderId="7" xfId="0" applyNumberFormat="1" applyFont="1" applyBorder="1" applyAlignment="1">
      <alignment horizontal="right" vertical="center" indent="1"/>
    </xf>
    <xf numFmtId="166" fontId="11" fillId="0" borderId="18" xfId="0" applyNumberFormat="1" applyFont="1" applyBorder="1" applyAlignment="1">
      <alignment vertical="center"/>
    </xf>
    <xf numFmtId="0" fontId="11" fillId="0" borderId="18" xfId="0" applyFont="1" applyBorder="1" applyAlignment="1">
      <alignment vertical="center"/>
    </xf>
    <xf numFmtId="167" fontId="11" fillId="0" borderId="16" xfId="0" applyNumberFormat="1" applyFont="1" applyBorder="1" applyAlignment="1">
      <alignment horizontal="right" vertical="center" indent="1"/>
    </xf>
    <xf numFmtId="167" fontId="11" fillId="0" borderId="17" xfId="0" applyNumberFormat="1" applyFont="1" applyBorder="1" applyAlignment="1">
      <alignment horizontal="right" vertical="center" indent="1"/>
    </xf>
    <xf numFmtId="0" fontId="11" fillId="0" borderId="18" xfId="0" applyFont="1" applyBorder="1" applyAlignment="1">
      <alignment horizontal="right" vertical="center" indent="1"/>
    </xf>
    <xf numFmtId="167" fontId="11" fillId="0" borderId="19" xfId="0" applyNumberFormat="1" applyFont="1" applyBorder="1" applyAlignment="1">
      <alignment horizontal="right" vertical="center" indent="1"/>
    </xf>
    <xf numFmtId="168" fontId="12" fillId="0" borderId="15" xfId="0" applyNumberFormat="1" applyFont="1" applyBorder="1" applyAlignment="1">
      <alignment horizontal="right" vertical="center" indent="1"/>
    </xf>
    <xf numFmtId="167" fontId="12" fillId="0" borderId="16" xfId="0" applyNumberFormat="1" applyFont="1" applyBorder="1" applyAlignment="1">
      <alignment horizontal="right" vertical="center" indent="1"/>
    </xf>
    <xf numFmtId="168" fontId="12" fillId="0" borderId="6" xfId="0" applyNumberFormat="1" applyFont="1" applyBorder="1" applyAlignment="1">
      <alignment horizontal="right" vertical="center" indent="1"/>
    </xf>
    <xf numFmtId="167" fontId="12" fillId="0" borderId="17" xfId="0" applyNumberFormat="1" applyFont="1" applyBorder="1" applyAlignment="1">
      <alignment horizontal="right" vertical="center" indent="1"/>
    </xf>
    <xf numFmtId="167" fontId="12" fillId="6" borderId="17" xfId="0" applyNumberFormat="1" applyFont="1" applyFill="1" applyBorder="1" applyAlignment="1">
      <alignment horizontal="right" vertical="center" indent="1"/>
    </xf>
    <xf numFmtId="168" fontId="12" fillId="0" borderId="7" xfId="0" applyNumberFormat="1" applyFont="1" applyBorder="1" applyAlignment="1">
      <alignment horizontal="right" vertical="center" indent="1"/>
    </xf>
    <xf numFmtId="167" fontId="12" fillId="0" borderId="19" xfId="0" applyNumberFormat="1" applyFont="1" applyBorder="1" applyAlignment="1">
      <alignment horizontal="right" vertical="center" indent="1"/>
    </xf>
    <xf numFmtId="0" fontId="11" fillId="0" borderId="8" xfId="0" applyFont="1" applyBorder="1" applyAlignment="1">
      <alignment horizontal="left" vertical="center" indent="1"/>
    </xf>
    <xf numFmtId="172" fontId="11" fillId="0" borderId="8" xfId="0" applyNumberFormat="1" applyFont="1" applyBorder="1" applyAlignment="1">
      <alignment horizontal="center" vertical="center"/>
    </xf>
    <xf numFmtId="168" fontId="11" fillId="0" borderId="8" xfId="0" applyNumberFormat="1" applyFont="1" applyBorder="1" applyAlignment="1">
      <alignment horizontal="right" vertical="center" indent="1"/>
    </xf>
    <xf numFmtId="167" fontId="11" fillId="0" borderId="20" xfId="0" applyNumberFormat="1" applyFont="1" applyBorder="1" applyAlignment="1">
      <alignment horizontal="right" vertical="center" indent="1"/>
    </xf>
    <xf numFmtId="168" fontId="12" fillId="0" borderId="8" xfId="0" applyNumberFormat="1" applyFont="1" applyBorder="1" applyAlignment="1">
      <alignment horizontal="right" vertical="center" indent="1"/>
    </xf>
    <xf numFmtId="167" fontId="12" fillId="0" borderId="20" xfId="0" applyNumberFormat="1" applyFont="1" applyBorder="1" applyAlignment="1">
      <alignment horizontal="right" vertical="center" indent="1"/>
    </xf>
    <xf numFmtId="0" fontId="11" fillId="0" borderId="8" xfId="0" applyFont="1" applyBorder="1" applyAlignment="1">
      <alignment vertical="center"/>
    </xf>
    <xf numFmtId="0" fontId="12" fillId="5" borderId="9" xfId="0" applyFont="1" applyFill="1" applyBorder="1" applyAlignment="1">
      <alignment horizontal="left" vertical="center" indent="1"/>
    </xf>
    <xf numFmtId="172" fontId="12" fillId="5" borderId="9" xfId="0" applyNumberFormat="1" applyFont="1" applyFill="1" applyBorder="1" applyAlignment="1">
      <alignment horizontal="center" vertical="center"/>
    </xf>
    <xf numFmtId="166" fontId="12" fillId="5" borderId="21" xfId="0" applyNumberFormat="1" applyFont="1" applyFill="1" applyBorder="1" applyAlignment="1">
      <alignment vertical="center"/>
    </xf>
    <xf numFmtId="168" fontId="12" fillId="5" borderId="9" xfId="0" applyNumberFormat="1" applyFont="1" applyFill="1" applyBorder="1" applyAlignment="1">
      <alignment horizontal="right" vertical="center" indent="1"/>
    </xf>
    <xf numFmtId="167" fontId="12" fillId="5" borderId="21" xfId="0" applyNumberFormat="1" applyFont="1" applyFill="1" applyBorder="1" applyAlignment="1">
      <alignment horizontal="right" vertical="center" indent="1"/>
    </xf>
    <xf numFmtId="0" fontId="12" fillId="3" borderId="22" xfId="0" applyFont="1" applyFill="1" applyBorder="1" applyAlignment="1">
      <alignment vertical="center"/>
    </xf>
    <xf numFmtId="166" fontId="12" fillId="3" borderId="23" xfId="0" applyNumberFormat="1" applyFont="1" applyFill="1" applyBorder="1" applyAlignment="1">
      <alignment vertical="center"/>
    </xf>
    <xf numFmtId="168" fontId="12" fillId="3" borderId="22" xfId="0" applyNumberFormat="1" applyFont="1" applyFill="1" applyBorder="1" applyAlignment="1">
      <alignment horizontal="right" vertical="center" indent="1"/>
    </xf>
    <xf numFmtId="167" fontId="12" fillId="3" borderId="23" xfId="0" applyNumberFormat="1" applyFont="1" applyFill="1" applyBorder="1" applyAlignment="1">
      <alignment horizontal="right" vertical="center" indent="1"/>
    </xf>
    <xf numFmtId="0" fontId="18" fillId="0" borderId="0" xfId="0" applyFont="1" applyBorder="1" applyAlignment="1">
      <alignment vertical="top"/>
    </xf>
    <xf numFmtId="173" fontId="18" fillId="0" borderId="0" xfId="0" applyNumberFormat="1" applyFont="1" applyBorder="1" applyAlignment="1">
      <alignment vertical="top"/>
    </xf>
    <xf numFmtId="0" fontId="20" fillId="5" borderId="9" xfId="0" applyFont="1" applyFill="1" applyBorder="1" applyAlignment="1">
      <alignment vertical="center"/>
    </xf>
    <xf numFmtId="0" fontId="19" fillId="0" borderId="0" xfId="0" applyFont="1" applyBorder="1" applyAlignment="1">
      <alignment vertical="center"/>
    </xf>
    <xf numFmtId="0" fontId="20" fillId="3" borderId="22" xfId="0" applyFont="1" applyFill="1" applyBorder="1" applyAlignment="1">
      <alignment vertical="center"/>
    </xf>
    <xf numFmtId="0" fontId="21" fillId="0" borderId="24" xfId="0" applyFont="1" applyBorder="1" applyAlignment="1">
      <alignment horizontal="left" vertical="center" indent="1"/>
    </xf>
    <xf numFmtId="0" fontId="13" fillId="0" borderId="8" xfId="0" applyFont="1" applyBorder="1" applyAlignment="1">
      <alignment horizontal="left" vertical="center" wrapText="1" indent="1"/>
    </xf>
    <xf numFmtId="0" fontId="13" fillId="0" borderId="6" xfId="0" applyFont="1" applyBorder="1" applyAlignment="1">
      <alignment horizontal="left" vertical="center" wrapText="1" indent="1"/>
    </xf>
    <xf numFmtId="0" fontId="11" fillId="0" borderId="6" xfId="0" applyFont="1" applyBorder="1" applyAlignment="1">
      <alignment vertical="center" indent="1"/>
    </xf>
    <xf numFmtId="0" fontId="11" fillId="0" borderId="8" xfId="0" applyFont="1" applyBorder="1" applyAlignment="1">
      <alignment vertical="center" indent="1"/>
    </xf>
    <xf numFmtId="2" fontId="11" fillId="0" borderId="6" xfId="0" applyNumberFormat="1" applyFont="1" applyBorder="1" applyAlignment="1">
      <alignment horizontal="right" vertical="center" indent="1"/>
    </xf>
    <xf numFmtId="0" fontId="11" fillId="0" borderId="6" xfId="0" applyFont="1" applyBorder="1" applyAlignment="1">
      <alignment horizontal="right" vertical="center" indent="1"/>
    </xf>
    <xf numFmtId="168" fontId="11" fillId="0" borderId="26" xfId="0" applyNumberFormat="1" applyFont="1" applyBorder="1" applyAlignment="1">
      <alignment horizontal="right" vertical="center" indent="1"/>
    </xf>
    <xf numFmtId="174" fontId="11" fillId="0" borderId="26" xfId="0" applyNumberFormat="1" applyFont="1" applyBorder="1" applyAlignment="1">
      <alignment horizontal="right" vertical="center" indent="1"/>
    </xf>
    <xf numFmtId="168" fontId="12" fillId="0" borderId="25" xfId="0" applyNumberFormat="1" applyFont="1" applyBorder="1" applyAlignment="1">
      <alignment horizontal="right" vertical="center" indent="1"/>
    </xf>
    <xf numFmtId="174" fontId="12" fillId="0" borderId="25" xfId="0" applyNumberFormat="1" applyFont="1" applyBorder="1" applyAlignment="1">
      <alignment horizontal="right" vertical="center" indent="1"/>
    </xf>
    <xf numFmtId="175" fontId="12" fillId="0" borderId="25" xfId="0" applyNumberFormat="1" applyFont="1" applyBorder="1" applyAlignment="1">
      <alignment horizontal="right" vertical="center" indent="1"/>
    </xf>
    <xf numFmtId="168" fontId="11" fillId="0" borderId="27" xfId="0" applyNumberFormat="1" applyFont="1" applyBorder="1" applyAlignment="1">
      <alignment horizontal="right" vertical="center" indent="1"/>
    </xf>
    <xf numFmtId="168" fontId="12" fillId="0" borderId="28" xfId="0" applyNumberFormat="1" applyFont="1" applyBorder="1" applyAlignment="1">
      <alignment horizontal="right" vertical="center" indent="1"/>
    </xf>
    <xf numFmtId="0" fontId="18" fillId="0" borderId="0" xfId="0" applyFont="1" applyBorder="1" applyAlignment="1">
      <alignment horizontal="center" vertical="center"/>
    </xf>
    <xf numFmtId="176" fontId="18" fillId="0" borderId="0" xfId="0" applyNumberFormat="1" applyFont="1" applyBorder="1" applyAlignment="1">
      <alignment horizontal="center" vertical="center"/>
    </xf>
    <xf numFmtId="0" fontId="11" fillId="0" borderId="7" xfId="0" applyFont="1" applyBorder="1" applyAlignment="1">
      <alignment vertical="center" indent="1"/>
    </xf>
    <xf numFmtId="165" fontId="11" fillId="0" borderId="29" xfId="0" applyNumberFormat="1" applyFont="1" applyBorder="1" applyAlignment="1">
      <alignment horizontal="right" vertical="center" indent="1"/>
    </xf>
    <xf numFmtId="165" fontId="12" fillId="0" borderId="30" xfId="0" applyNumberFormat="1" applyFont="1" applyBorder="1" applyAlignment="1">
      <alignment horizontal="right" vertical="center" indent="1"/>
    </xf>
    <xf numFmtId="0" fontId="13" fillId="0" borderId="7" xfId="0" applyFont="1" applyBorder="1" applyAlignment="1">
      <alignment horizontal="left" vertical="center" wrapText="1" indent="1"/>
    </xf>
    <xf numFmtId="0" fontId="11" fillId="0" borderId="8" xfId="0" applyFont="1" applyBorder="1" applyAlignment="1">
      <alignment horizontal="right" vertical="center" indent="1"/>
    </xf>
    <xf numFmtId="0" fontId="14" fillId="0" borderId="8" xfId="0" applyFont="1" applyBorder="1" applyAlignment="1">
      <alignment horizontal="left" vertical="center" indent="1"/>
    </xf>
    <xf numFmtId="0" fontId="12" fillId="0" borderId="24" xfId="0" applyFont="1" applyBorder="1" applyAlignment="1">
      <alignment horizontal="right" vertical="center" indent="1"/>
    </xf>
    <xf numFmtId="174" fontId="11" fillId="0" borderId="29" xfId="0" applyNumberFormat="1" applyFont="1" applyBorder="1" applyAlignment="1">
      <alignment horizontal="right" vertical="center" indent="1"/>
    </xf>
    <xf numFmtId="174" fontId="12" fillId="0" borderId="30" xfId="0" applyNumberFormat="1" applyFont="1" applyBorder="1" applyAlignment="1">
      <alignment horizontal="right" vertical="center" indent="1"/>
    </xf>
    <xf numFmtId="174" fontId="11" fillId="0" borderId="27" xfId="0" applyNumberFormat="1" applyFont="1" applyBorder="1" applyAlignment="1">
      <alignment horizontal="right" vertical="center" indent="1"/>
    </xf>
    <xf numFmtId="174" fontId="12" fillId="0" borderId="28" xfId="0" applyNumberFormat="1" applyFont="1" applyBorder="1" applyAlignment="1">
      <alignment horizontal="right" vertical="center" indent="1"/>
    </xf>
    <xf numFmtId="168" fontId="11" fillId="0" borderId="29" xfId="0" applyNumberFormat="1" applyFont="1" applyBorder="1" applyAlignment="1">
      <alignment horizontal="right" vertical="center" indent="1"/>
    </xf>
    <xf numFmtId="175" fontId="12" fillId="0" borderId="30" xfId="0" applyNumberFormat="1" applyFont="1" applyBorder="1" applyAlignment="1">
      <alignment horizontal="right" vertical="center" indent="1"/>
    </xf>
    <xf numFmtId="168" fontId="12" fillId="0" borderId="30" xfId="0" applyNumberFormat="1" applyFont="1" applyBorder="1" applyAlignment="1">
      <alignment horizontal="right" vertical="center" indent="1"/>
    </xf>
    <xf numFmtId="0" fontId="12" fillId="0" borderId="1" xfId="0" applyFont="1" applyBorder="1" applyAlignment="1">
      <alignment horizontal="right" vertical="center" indent="1"/>
    </xf>
    <xf numFmtId="0" fontId="21" fillId="0" borderId="1" xfId="0" applyFont="1" applyBorder="1" applyAlignment="1">
      <alignment horizontal="left" vertical="center" indent="1"/>
    </xf>
    <xf numFmtId="0" fontId="11" fillId="4" borderId="8" xfId="0" applyFont="1" applyFill="1" applyBorder="1" applyAlignment="1">
      <alignment horizontal="left" vertical="center" indent="1"/>
    </xf>
    <xf numFmtId="172" fontId="11" fillId="4" borderId="8" xfId="0" applyNumberFormat="1" applyFont="1" applyFill="1" applyBorder="1" applyAlignment="1">
      <alignment horizontal="center" vertical="center"/>
    </xf>
    <xf numFmtId="168" fontId="11" fillId="4" borderId="8" xfId="0" applyNumberFormat="1" applyFont="1" applyFill="1" applyBorder="1" applyAlignment="1">
      <alignment horizontal="right" vertical="center" indent="1"/>
    </xf>
    <xf numFmtId="167" fontId="11" fillId="4" borderId="20" xfId="0" applyNumberFormat="1" applyFont="1" applyFill="1" applyBorder="1" applyAlignment="1">
      <alignment horizontal="right" vertical="center" indent="1"/>
    </xf>
    <xf numFmtId="168" fontId="12" fillId="4" borderId="8" xfId="0" applyNumberFormat="1" applyFont="1" applyFill="1" applyBorder="1" applyAlignment="1">
      <alignment horizontal="right" vertical="center" indent="1"/>
    </xf>
    <xf numFmtId="167" fontId="12" fillId="4" borderId="20" xfId="0" applyNumberFormat="1" applyFont="1" applyFill="1" applyBorder="1" applyAlignment="1">
      <alignment horizontal="right" vertical="center" indent="1"/>
    </xf>
    <xf numFmtId="0" fontId="9" fillId="0" borderId="8" xfId="0" applyFont="1" applyBorder="1" applyAlignment="1">
      <alignment horizontal="center" vertical="center"/>
    </xf>
    <xf numFmtId="164" fontId="9" fillId="0" borderId="8" xfId="0" applyNumberFormat="1" applyFont="1" applyBorder="1" applyAlignment="1">
      <alignment horizontal="center" vertical="center"/>
    </xf>
    <xf numFmtId="0" fontId="9" fillId="0" borderId="8" xfId="0" applyFont="1" applyBorder="1" applyAlignment="1">
      <alignment horizontal="left" vertical="center"/>
    </xf>
    <xf numFmtId="169" fontId="9" fillId="0" borderId="8" xfId="0" applyNumberFormat="1" applyFont="1" applyBorder="1" applyAlignment="1">
      <alignment horizontal="center" vertical="center"/>
    </xf>
    <xf numFmtId="168" fontId="9" fillId="0" borderId="8" xfId="0" applyNumberFormat="1" applyFont="1" applyBorder="1" applyAlignment="1">
      <alignment horizontal="center" vertical="center"/>
    </xf>
    <xf numFmtId="167" fontId="9" fillId="0" borderId="8" xfId="0" applyNumberFormat="1" applyFont="1" applyBorder="1" applyAlignment="1">
      <alignment vertical="center"/>
    </xf>
    <xf numFmtId="0" fontId="5" fillId="0" borderId="0" xfId="1" applyFont="1" applyBorder="1" applyAlignment="1">
      <alignment vertical="center"/>
    </xf>
    <xf numFmtId="0" fontId="1" fillId="0" borderId="0" xfId="1" applyBorder="1"/>
    <xf numFmtId="0" fontId="2" fillId="0" borderId="0" xfId="1" applyFont="1" applyBorder="1" applyAlignment="1">
      <alignment vertical="center"/>
    </xf>
    <xf numFmtId="0" fontId="3" fillId="3" borderId="31" xfId="1" applyFont="1" applyFill="1" applyBorder="1" applyAlignment="1">
      <alignment horizontal="center" vertical="center" wrapText="1"/>
    </xf>
    <xf numFmtId="0" fontId="3" fillId="0" borderId="31" xfId="1" applyFont="1" applyBorder="1" applyAlignment="1">
      <alignment vertical="center"/>
    </xf>
    <xf numFmtId="0" fontId="2" fillId="5" borderId="31" xfId="1" applyFont="1" applyFill="1" applyBorder="1" applyAlignment="1">
      <alignment vertical="center"/>
    </xf>
    <xf numFmtId="172" fontId="2" fillId="5" borderId="31" xfId="1" applyNumberFormat="1" applyFont="1" applyFill="1" applyBorder="1" applyAlignment="1">
      <alignment horizontal="center" vertical="center"/>
    </xf>
    <xf numFmtId="172" fontId="2" fillId="0" borderId="31" xfId="1" applyNumberFormat="1" applyFont="1" applyBorder="1" applyAlignment="1">
      <alignment horizontal="right" vertical="center"/>
    </xf>
    <xf numFmtId="3" fontId="2" fillId="0" borderId="31" xfId="1" applyNumberFormat="1" applyFont="1" applyBorder="1" applyAlignment="1">
      <alignment horizontal="right" vertical="center"/>
    </xf>
    <xf numFmtId="165" fontId="2" fillId="0" borderId="31" xfId="1" applyNumberFormat="1" applyFont="1" applyBorder="1" applyAlignment="1">
      <alignment horizontal="right" vertical="center"/>
    </xf>
    <xf numFmtId="168" fontId="2" fillId="0" borderId="31" xfId="1" applyNumberFormat="1" applyFont="1" applyBorder="1" applyAlignment="1">
      <alignment horizontal="right" vertical="center"/>
    </xf>
    <xf numFmtId="168" fontId="3" fillId="0" borderId="31" xfId="1" applyNumberFormat="1" applyFont="1" applyBorder="1" applyAlignment="1">
      <alignment horizontal="right" vertical="center"/>
    </xf>
    <xf numFmtId="0" fontId="2" fillId="0" borderId="0" xfId="0" applyFont="1" applyBorder="1" applyAlignment="1">
      <alignment horizontal="left"/>
    </xf>
    <xf numFmtId="0" fontId="3" fillId="0" borderId="0" xfId="0" applyFont="1" applyBorder="1" applyAlignment="1">
      <alignment horizontal="left"/>
    </xf>
    <xf numFmtId="0" fontId="3" fillId="5" borderId="0" xfId="0" applyFont="1" applyFill="1" applyBorder="1" applyAlignment="1">
      <alignment horizontal="left"/>
    </xf>
    <xf numFmtId="0" fontId="23" fillId="9" borderId="0" xfId="0" applyFont="1" applyFill="1" applyBorder="1" applyAlignment="1">
      <alignment vertical="center" wrapText="1"/>
    </xf>
    <xf numFmtId="0" fontId="24" fillId="0" borderId="0" xfId="0" applyFont="1" applyBorder="1" applyAlignment="1">
      <alignment wrapText="1"/>
    </xf>
    <xf numFmtId="0" fontId="25" fillId="0" borderId="0" xfId="0" applyFont="1" applyBorder="1"/>
    <xf numFmtId="164" fontId="25" fillId="0" borderId="0" xfId="0" applyNumberFormat="1" applyFont="1" applyBorder="1"/>
    <xf numFmtId="0" fontId="26" fillId="0" borderId="0" xfId="0" applyFont="1" applyBorder="1"/>
    <xf numFmtId="0" fontId="25" fillId="10" borderId="0" xfId="0" applyFont="1" applyFill="1" applyBorder="1"/>
    <xf numFmtId="0" fontId="25" fillId="11" borderId="0" xfId="0" applyFont="1" applyFill="1" applyBorder="1"/>
    <xf numFmtId="0" fontId="25" fillId="12" borderId="0" xfId="0" applyFont="1" applyFill="1" applyBorder="1"/>
    <xf numFmtId="0" fontId="25" fillId="13" borderId="0" xfId="0" applyFont="1" applyFill="1" applyBorder="1"/>
    <xf numFmtId="0" fontId="0" fillId="14" borderId="0" xfId="0" applyFill="1" applyBorder="1"/>
    <xf numFmtId="177" fontId="0" fillId="14" borderId="0" xfId="0" applyNumberFormat="1" applyFill="1" applyBorder="1"/>
    <xf numFmtId="0" fontId="0" fillId="6" borderId="0" xfId="0" applyFill="1" applyBorder="1"/>
    <xf numFmtId="177" fontId="0" fillId="6" borderId="0" xfId="0" applyNumberFormat="1" applyFill="1" applyBorder="1"/>
    <xf numFmtId="169" fontId="9" fillId="4" borderId="8" xfId="0" applyNumberFormat="1" applyFont="1" applyFill="1" applyBorder="1" applyAlignment="1">
      <alignment horizontal="center" vertical="center"/>
    </xf>
    <xf numFmtId="0" fontId="2" fillId="0" borderId="0" xfId="0" applyFont="1" applyBorder="1" applyAlignment="1">
      <alignment horizontal="center"/>
    </xf>
    <xf numFmtId="172" fontId="2" fillId="0" borderId="0" xfId="0" applyNumberFormat="1" applyFont="1" applyBorder="1" applyAlignment="1">
      <alignment horizontal="center"/>
    </xf>
    <xf numFmtId="3" fontId="2" fillId="0" borderId="0" xfId="0" applyNumberFormat="1" applyFont="1" applyBorder="1" applyAlignment="1">
      <alignment horizontal="center"/>
    </xf>
    <xf numFmtId="165" fontId="2" fillId="0" borderId="0" xfId="0" applyNumberFormat="1" applyFont="1" applyBorder="1" applyAlignment="1">
      <alignment horizontal="right"/>
    </xf>
    <xf numFmtId="165" fontId="3" fillId="5" borderId="0" xfId="0" applyNumberFormat="1" applyFont="1" applyFill="1" applyBorder="1" applyAlignment="1">
      <alignment horizontal="left"/>
    </xf>
    <xf numFmtId="0" fontId="3" fillId="3" borderId="32" xfId="0" applyFont="1" applyFill="1" applyBorder="1" applyAlignment="1">
      <alignment horizontal="center" vertical="center" wrapText="1"/>
    </xf>
    <xf numFmtId="0" fontId="3" fillId="3" borderId="32" xfId="0" applyFont="1" applyFill="1" applyBorder="1" applyAlignment="1">
      <alignment horizontal="left" vertical="center" wrapText="1"/>
    </xf>
    <xf numFmtId="0" fontId="3" fillId="3" borderId="32" xfId="0" applyFont="1" applyFill="1" applyBorder="1" applyAlignment="1">
      <alignment horizontal="right" vertical="center" wrapText="1"/>
    </xf>
    <xf numFmtId="0" fontId="3" fillId="3" borderId="32" xfId="0" applyFont="1" applyFill="1" applyBorder="1" applyAlignment="1">
      <alignment horizontal="left" vertical="center" wrapText="1" indent="1"/>
    </xf>
    <xf numFmtId="0" fontId="2" fillId="0" borderId="0" xfId="0" applyFont="1" applyBorder="1" applyAlignment="1">
      <alignment horizontal="left" indent="1"/>
    </xf>
    <xf numFmtId="0" fontId="8" fillId="0" borderId="2" xfId="0" applyFont="1" applyBorder="1" applyAlignment="1">
      <alignment horizontal="center"/>
    </xf>
    <xf numFmtId="166" fontId="8" fillId="0" borderId="2" xfId="0" applyNumberFormat="1" applyFont="1" applyBorder="1" applyAlignment="1">
      <alignment horizontal="center"/>
    </xf>
    <xf numFmtId="0" fontId="8" fillId="0" borderId="2" xfId="0" applyFont="1" applyBorder="1"/>
    <xf numFmtId="167" fontId="8" fillId="0" borderId="2" xfId="0" applyNumberFormat="1" applyFont="1" applyBorder="1"/>
    <xf numFmtId="168" fontId="8" fillId="0" borderId="2" xfId="0" applyNumberFormat="1" applyFont="1" applyBorder="1"/>
    <xf numFmtId="49" fontId="8" fillId="0" borderId="2" xfId="0" applyNumberFormat="1" applyFont="1" applyBorder="1"/>
    <xf numFmtId="0" fontId="11" fillId="0" borderId="0" xfId="0" applyFont="1" applyBorder="1"/>
    <xf numFmtId="178" fontId="11" fillId="0" borderId="17" xfId="0" applyNumberFormat="1" applyFont="1" applyBorder="1" applyAlignment="1">
      <alignment horizontal="center"/>
    </xf>
    <xf numFmtId="179" fontId="11" fillId="0" borderId="25" xfId="0" applyNumberFormat="1" applyFont="1" applyBorder="1" applyAlignment="1">
      <alignment horizontal="right"/>
    </xf>
    <xf numFmtId="179" fontId="11" fillId="0" borderId="26" xfId="0" applyNumberFormat="1" applyFont="1" applyBorder="1" applyAlignment="1">
      <alignment horizontal="right"/>
    </xf>
    <xf numFmtId="178" fontId="11" fillId="0" borderId="20" xfId="0" applyNumberFormat="1" applyFont="1" applyBorder="1" applyAlignment="1">
      <alignment horizontal="center"/>
    </xf>
    <xf numFmtId="179" fontId="11" fillId="0" borderId="28" xfId="0" applyNumberFormat="1" applyFont="1" applyBorder="1" applyAlignment="1">
      <alignment horizontal="right"/>
    </xf>
    <xf numFmtId="179" fontId="11" fillId="0" borderId="27" xfId="0" applyNumberFormat="1" applyFont="1" applyBorder="1" applyAlignment="1">
      <alignment horizontal="right"/>
    </xf>
    <xf numFmtId="176" fontId="18" fillId="0" borderId="0" xfId="0" applyNumberFormat="1" applyFont="1" applyBorder="1" applyAlignment="1">
      <alignment horizontal="center"/>
    </xf>
    <xf numFmtId="0" fontId="27" fillId="0" borderId="33" xfId="0" applyFont="1" applyBorder="1" applyAlignment="1">
      <alignment vertical="center"/>
    </xf>
    <xf numFmtId="0" fontId="11" fillId="0" borderId="33" xfId="0" applyFont="1" applyBorder="1" applyAlignment="1">
      <alignment vertical="center"/>
    </xf>
    <xf numFmtId="0" fontId="28" fillId="0" borderId="0" xfId="0" applyFont="1" applyBorder="1" applyAlignment="1">
      <alignment vertical="center"/>
    </xf>
    <xf numFmtId="0" fontId="11" fillId="0" borderId="7" xfId="0" applyFont="1" applyBorder="1" applyAlignment="1">
      <alignment vertical="center"/>
    </xf>
    <xf numFmtId="175" fontId="11" fillId="0" borderId="7" xfId="0" applyNumberFormat="1" applyFont="1" applyBorder="1" applyAlignment="1">
      <alignment horizontal="right" vertical="center" indent="1"/>
    </xf>
    <xf numFmtId="0" fontId="11" fillId="0" borderId="7" xfId="0" applyFont="1" applyBorder="1" applyAlignment="1">
      <alignment horizontal="right" vertical="center" indent="1"/>
    </xf>
    <xf numFmtId="0" fontId="10" fillId="7" borderId="34" xfId="0" applyFont="1" applyFill="1" applyBorder="1" applyAlignment="1">
      <alignment vertical="center"/>
    </xf>
    <xf numFmtId="0" fontId="10" fillId="7" borderId="34" xfId="0" applyFont="1" applyFill="1" applyBorder="1" applyAlignment="1">
      <alignment horizontal="left" vertical="center" wrapText="1" indent="1"/>
    </xf>
    <xf numFmtId="0" fontId="11" fillId="0" borderId="35" xfId="0" applyFont="1" applyBorder="1" applyAlignment="1">
      <alignment vertical="center"/>
    </xf>
    <xf numFmtId="0" fontId="10" fillId="7" borderId="34" xfId="0" applyFont="1" applyFill="1" applyBorder="1" applyAlignment="1">
      <alignment horizontal="left" vertical="center"/>
    </xf>
    <xf numFmtId="0" fontId="10" fillId="7" borderId="34" xfId="0" applyFont="1" applyFill="1" applyBorder="1" applyAlignment="1">
      <alignment horizontal="right" vertical="center" indent="1"/>
    </xf>
    <xf numFmtId="178" fontId="11" fillId="0" borderId="19" xfId="0" applyNumberFormat="1" applyFont="1" applyBorder="1" applyAlignment="1">
      <alignment horizontal="center"/>
    </xf>
    <xf numFmtId="179" fontId="11" fillId="0" borderId="30" xfId="0" applyNumberFormat="1" applyFont="1" applyBorder="1" applyAlignment="1">
      <alignment horizontal="right"/>
    </xf>
    <xf numFmtId="179" fontId="11" fillId="0" borderId="29" xfId="0" applyNumberFormat="1" applyFont="1" applyBorder="1" applyAlignment="1">
      <alignment horizontal="right"/>
    </xf>
    <xf numFmtId="0" fontId="10" fillId="7" borderId="36" xfId="0" applyFont="1" applyFill="1" applyBorder="1" applyAlignment="1">
      <alignment horizontal="center"/>
    </xf>
    <xf numFmtId="0" fontId="10" fillId="7" borderId="36" xfId="0" applyFont="1" applyFill="1" applyBorder="1" applyAlignment="1">
      <alignment horizontal="right"/>
    </xf>
    <xf numFmtId="0" fontId="29" fillId="0" borderId="24" xfId="0" applyFont="1" applyBorder="1" applyAlignment="1">
      <alignment vertical="center"/>
    </xf>
    <xf numFmtId="0" fontId="29" fillId="0" borderId="1" xfId="0" applyFont="1" applyBorder="1" applyAlignment="1">
      <alignment vertical="center"/>
    </xf>
    <xf numFmtId="0" fontId="29" fillId="0" borderId="0" xfId="0" applyFont="1" applyBorder="1"/>
    <xf numFmtId="0" fontId="12" fillId="5" borderId="37" xfId="0" applyFont="1" applyFill="1" applyBorder="1" applyAlignment="1">
      <alignment vertical="center" indent="1"/>
    </xf>
    <xf numFmtId="168" fontId="12" fillId="5" borderId="38" xfId="0" applyNumberFormat="1" applyFont="1" applyFill="1" applyBorder="1" applyAlignment="1">
      <alignment horizontal="right" vertical="center" indent="1"/>
    </xf>
    <xf numFmtId="168" fontId="12" fillId="5" borderId="39" xfId="0" applyNumberFormat="1" applyFont="1" applyFill="1" applyBorder="1" applyAlignment="1">
      <alignment horizontal="right" vertical="center" indent="1"/>
    </xf>
    <xf numFmtId="0" fontId="15" fillId="5" borderId="37" xfId="0" applyFont="1" applyFill="1" applyBorder="1" applyAlignment="1">
      <alignment horizontal="left" vertical="center" wrapText="1" indent="1"/>
    </xf>
    <xf numFmtId="0" fontId="11" fillId="0" borderId="0" xfId="0" applyFont="1" applyBorder="1" applyAlignment="1">
      <alignment vertical="center" indent="1"/>
    </xf>
    <xf numFmtId="0" fontId="12" fillId="5" borderId="35" xfId="0" applyFont="1" applyFill="1" applyBorder="1" applyAlignment="1">
      <alignment vertical="center" indent="1"/>
    </xf>
    <xf numFmtId="168" fontId="12" fillId="5" borderId="40" xfId="0" applyNumberFormat="1" applyFont="1" applyFill="1" applyBorder="1" applyAlignment="1">
      <alignment horizontal="right" vertical="center" indent="1"/>
    </xf>
    <xf numFmtId="168" fontId="12" fillId="5" borderId="41" xfId="0" applyNumberFormat="1" applyFont="1" applyFill="1" applyBorder="1" applyAlignment="1">
      <alignment horizontal="right" vertical="center" indent="1"/>
    </xf>
    <xf numFmtId="0" fontId="21" fillId="5" borderId="35" xfId="0" applyFont="1" applyFill="1" applyBorder="1" applyAlignment="1">
      <alignment horizontal="left" vertical="center" wrapText="1" indent="1"/>
    </xf>
    <xf numFmtId="0" fontId="12" fillId="5" borderId="42" xfId="0" applyFont="1" applyFill="1" applyBorder="1" applyAlignment="1">
      <alignment horizontal="center"/>
    </xf>
    <xf numFmtId="179" fontId="12" fillId="5" borderId="39" xfId="0" applyNumberFormat="1" applyFont="1" applyFill="1" applyBorder="1" applyAlignment="1">
      <alignment horizontal="right"/>
    </xf>
    <xf numFmtId="179" fontId="12" fillId="5" borderId="38" xfId="0" applyNumberFormat="1" applyFont="1" applyFill="1" applyBorder="1" applyAlignment="1">
      <alignment horizontal="right"/>
    </xf>
    <xf numFmtId="0" fontId="30" fillId="6" borderId="0" xfId="0" applyFont="1" applyFill="1" applyBorder="1" applyAlignment="1">
      <alignment vertical="center"/>
    </xf>
    <xf numFmtId="0" fontId="31" fillId="6" borderId="0" xfId="0" applyFont="1" applyFill="1" applyBorder="1" applyAlignment="1">
      <alignment horizontal="right" vertical="center" wrapText="1"/>
    </xf>
    <xf numFmtId="0" fontId="30" fillId="0" borderId="0" xfId="0" applyFont="1" applyBorder="1" applyAlignment="1">
      <alignment vertical="center"/>
    </xf>
    <xf numFmtId="0" fontId="32" fillId="0" borderId="0" xfId="0" applyFont="1" applyBorder="1" applyAlignment="1">
      <alignment horizontal="center" vertical="center"/>
    </xf>
    <xf numFmtId="0" fontId="9" fillId="0" borderId="0" xfId="0" applyFont="1" applyBorder="1" applyAlignment="1">
      <alignment horizontal="center" vertical="center"/>
    </xf>
    <xf numFmtId="167" fontId="9" fillId="0" borderId="0" xfId="0" applyNumberFormat="1" applyFont="1" applyBorder="1" applyAlignment="1">
      <alignment vertical="center"/>
    </xf>
    <xf numFmtId="15" fontId="3" fillId="0" borderId="0" xfId="0" applyNumberFormat="1" applyFont="1" applyBorder="1" applyAlignment="1">
      <alignment horizontal="left"/>
    </xf>
    <xf numFmtId="15" fontId="2" fillId="0" borderId="0" xfId="0" applyNumberFormat="1" applyFont="1" applyBorder="1" applyAlignment="1">
      <alignment horizontal="center"/>
    </xf>
    <xf numFmtId="0" fontId="33" fillId="0" borderId="0" xfId="0" applyFont="1" applyBorder="1" applyAlignment="1">
      <alignment horizontal="left" indent="1"/>
    </xf>
    <xf numFmtId="0" fontId="33" fillId="0" borderId="0" xfId="0" applyFont="1" applyBorder="1" applyAlignment="1">
      <alignment horizontal="left"/>
    </xf>
    <xf numFmtId="0" fontId="9" fillId="4" borderId="8" xfId="0" applyFont="1" applyFill="1" applyBorder="1" applyAlignment="1">
      <alignment horizontal="center" vertical="center"/>
    </xf>
    <xf numFmtId="0" fontId="34" fillId="0" borderId="0" xfId="0" applyFont="1" applyBorder="1"/>
    <xf numFmtId="178" fontId="12" fillId="7" borderId="44" xfId="0" applyNumberFormat="1" applyFont="1" applyFill="1" applyBorder="1" applyAlignment="1">
      <alignment horizontal="center"/>
    </xf>
    <xf numFmtId="178" fontId="12" fillId="7" borderId="45" xfId="0" applyNumberFormat="1" applyFont="1" applyFill="1" applyBorder="1" applyAlignment="1">
      <alignment horizontal="center"/>
    </xf>
    <xf numFmtId="0" fontId="11" fillId="0" borderId="44" xfId="0" applyFont="1" applyBorder="1" applyAlignment="1">
      <alignment horizontal="center"/>
    </xf>
    <xf numFmtId="0" fontId="11" fillId="0" borderId="45" xfId="0" applyFont="1" applyBorder="1" applyAlignment="1">
      <alignment horizontal="center"/>
    </xf>
    <xf numFmtId="0" fontId="12" fillId="7" borderId="44" xfId="0" applyFont="1" applyFill="1" applyBorder="1" applyAlignment="1">
      <alignment horizontal="centerContinuous"/>
    </xf>
    <xf numFmtId="0" fontId="12" fillId="7" borderId="45" xfId="0" applyFont="1" applyFill="1" applyBorder="1" applyAlignment="1">
      <alignment horizontal="centerContinuous"/>
    </xf>
    <xf numFmtId="0" fontId="12" fillId="7" borderId="44" xfId="0" applyFont="1" applyFill="1" applyBorder="1" applyAlignment="1">
      <alignment horizontal="left"/>
    </xf>
    <xf numFmtId="0" fontId="11" fillId="0" borderId="44" xfId="0" applyFont="1" applyBorder="1"/>
    <xf numFmtId="0" fontId="12" fillId="7" borderId="43" xfId="0" applyFont="1" applyFill="1" applyBorder="1" applyAlignment="1">
      <alignment horizontal="centerContinuous"/>
    </xf>
    <xf numFmtId="178" fontId="12" fillId="7" borderId="43" xfId="0" applyNumberFormat="1" applyFont="1" applyFill="1" applyBorder="1" applyAlignment="1">
      <alignment horizontal="center"/>
    </xf>
    <xf numFmtId="0" fontId="11" fillId="0" borderId="43" xfId="0" applyFont="1" applyBorder="1" applyAlignment="1">
      <alignment horizontal="center"/>
    </xf>
    <xf numFmtId="0" fontId="12" fillId="7" borderId="46" xfId="0" applyFont="1" applyFill="1" applyBorder="1" applyAlignment="1">
      <alignment horizontal="centerContinuous"/>
    </xf>
    <xf numFmtId="178" fontId="12" fillId="7" borderId="46" xfId="0" applyNumberFormat="1" applyFont="1" applyFill="1" applyBorder="1" applyAlignment="1">
      <alignment horizontal="center"/>
    </xf>
    <xf numFmtId="0" fontId="11" fillId="0" borderId="46" xfId="0" applyFont="1" applyBorder="1" applyAlignment="1">
      <alignment horizontal="center"/>
    </xf>
    <xf numFmtId="166" fontId="18" fillId="0" borderId="51" xfId="0" applyNumberFormat="1" applyFont="1" applyAlignment="1">
      <alignment horizontal="center" vertical="center"/>
    </xf>
    <xf numFmtId="168" fontId="18" fillId="0" borderId="0" xfId="0" applyNumberFormat="1" applyFont="1" applyBorder="1" applyAlignment="1">
      <alignment vertical="top"/>
    </xf>
    <xf numFmtId="0" fontId="35" fillId="0" borderId="0" xfId="0" applyFont="1" applyBorder="1"/>
    <xf numFmtId="0" fontId="36" fillId="0" borderId="0" xfId="0" applyFont="1" applyBorder="1"/>
    <xf numFmtId="0" fontId="7" fillId="15" borderId="52" xfId="0" applyFont="1" applyFill="1" applyBorder="1" applyAlignment="1">
      <alignment horizontal="center" vertical="center" wrapText="1"/>
    </xf>
    <xf numFmtId="0" fontId="8" fillId="0" borderId="52" xfId="0" applyFont="1" applyBorder="1" applyAlignment="1">
      <alignment horizontal="center"/>
    </xf>
    <xf numFmtId="164" fontId="8" fillId="0" borderId="52" xfId="0" applyNumberFormat="1" applyFont="1" applyBorder="1" applyAlignment="1">
      <alignment horizontal="center"/>
    </xf>
    <xf numFmtId="180" fontId="8" fillId="0" borderId="52" xfId="0" applyNumberFormat="1" applyFont="1" applyBorder="1"/>
    <xf numFmtId="180" fontId="7" fillId="0" borderId="52" xfId="0" applyNumberFormat="1" applyFont="1" applyBorder="1"/>
    <xf numFmtId="0" fontId="7" fillId="16" borderId="52" xfId="0" applyFont="1" applyFill="1" applyBorder="1"/>
    <xf numFmtId="180" fontId="7" fillId="16" borderId="52" xfId="0" applyNumberFormat="1" applyFont="1" applyFill="1" applyBorder="1"/>
    <xf numFmtId="166" fontId="11" fillId="0" borderId="16" xfId="0" applyNumberFormat="1" applyFont="1" applyBorder="1" applyAlignment="1">
      <alignment horizontal="center" vertical="center"/>
    </xf>
    <xf numFmtId="0" fontId="19" fillId="0" borderId="15" xfId="0" applyFont="1" applyBorder="1" applyAlignment="1">
      <alignment vertical="center"/>
    </xf>
    <xf numFmtId="166" fontId="11" fillId="0" borderId="17" xfId="0" applyNumberFormat="1" applyFont="1" applyBorder="1" applyAlignment="1">
      <alignment horizontal="center" vertical="center"/>
    </xf>
    <xf numFmtId="0" fontId="19" fillId="0" borderId="6" xfId="0" applyFont="1" applyBorder="1" applyAlignment="1">
      <alignment vertical="center"/>
    </xf>
    <xf numFmtId="166" fontId="11" fillId="4" borderId="20" xfId="0" applyNumberFormat="1" applyFont="1" applyFill="1" applyBorder="1" applyAlignment="1">
      <alignment horizontal="center" vertical="center"/>
    </xf>
    <xf numFmtId="0" fontId="19" fillId="0" borderId="8" xfId="0" applyFont="1" applyBorder="1" applyAlignment="1">
      <alignment vertical="center"/>
    </xf>
    <xf numFmtId="166" fontId="11" fillId="0" borderId="19" xfId="0" applyNumberFormat="1" applyFont="1" applyBorder="1" applyAlignment="1">
      <alignment horizontal="center" vertical="center"/>
    </xf>
    <xf numFmtId="0" fontId="19" fillId="0" borderId="7" xfId="0" applyFont="1" applyBorder="1" applyAlignment="1">
      <alignment vertical="center"/>
    </xf>
    <xf numFmtId="166" fontId="11" fillId="0" borderId="20" xfId="0" applyNumberFormat="1" applyFont="1" applyBorder="1" applyAlignment="1">
      <alignment horizontal="center" vertical="center"/>
    </xf>
    <xf numFmtId="0" fontId="7" fillId="15" borderId="55" xfId="0" applyFont="1" applyFill="1" applyBorder="1" applyAlignment="1">
      <alignment horizontal="center" vertical="center" wrapText="1"/>
    </xf>
    <xf numFmtId="0" fontId="0" fillId="0" borderId="49" xfId="0" applyBorder="1"/>
    <xf numFmtId="0" fontId="0" fillId="0" borderId="54" xfId="0" applyBorder="1"/>
    <xf numFmtId="0" fontId="0" fillId="0" borderId="53" xfId="0" applyBorder="1"/>
    <xf numFmtId="0" fontId="11" fillId="0" borderId="51" xfId="0" applyFont="1" applyAlignment="1">
      <alignment vertical="center" wrapText="1"/>
    </xf>
    <xf numFmtId="0" fontId="0" fillId="0" borderId="0" xfId="0" applyBorder="1"/>
    <xf numFmtId="0" fontId="12" fillId="0" borderId="51" xfId="0" applyFont="1" applyAlignment="1">
      <alignment vertical="center" wrapText="1"/>
    </xf>
    <xf numFmtId="0" fontId="7" fillId="7" borderId="10" xfId="0" applyFont="1" applyFill="1" applyBorder="1" applyAlignment="1">
      <alignment horizontal="center" vertical="center" wrapText="1"/>
    </xf>
    <xf numFmtId="0" fontId="0" fillId="0" borderId="47" xfId="0" applyBorder="1"/>
    <xf numFmtId="0" fontId="0" fillId="0" borderId="48" xfId="0" applyBorder="1"/>
    <xf numFmtId="0" fontId="10" fillId="7" borderId="12" xfId="0" applyFont="1" applyFill="1" applyBorder="1" applyAlignment="1">
      <alignment horizontal="left" vertical="center" indent="1"/>
    </xf>
    <xf numFmtId="0" fontId="0" fillId="0" borderId="11" xfId="0" applyBorder="1"/>
    <xf numFmtId="0" fontId="9" fillId="0" borderId="4" xfId="0" applyFont="1" applyBorder="1"/>
    <xf numFmtId="0" fontId="0" fillId="0" borderId="4" xfId="0" applyBorder="1"/>
    <xf numFmtId="0" fontId="10" fillId="3" borderId="3" xfId="0" applyFont="1" applyFill="1" applyBorder="1" applyAlignment="1">
      <alignment horizontal="left"/>
    </xf>
    <xf numFmtId="0" fontId="0" fillId="0" borderId="3" xfId="0" applyBorder="1"/>
    <xf numFmtId="0" fontId="10" fillId="5" borderId="4" xfId="0" applyFont="1" applyFill="1" applyBorder="1"/>
    <xf numFmtId="0" fontId="3" fillId="3" borderId="55" xfId="1" applyFont="1" applyFill="1" applyBorder="1" applyAlignment="1">
      <alignment horizontal="center" vertical="center" wrapText="1"/>
    </xf>
    <xf numFmtId="0" fontId="22" fillId="3" borderId="55" xfId="0" applyFont="1" applyFill="1" applyBorder="1" applyAlignment="1">
      <alignment horizontal="center" vertical="center" wrapText="1"/>
    </xf>
    <xf numFmtId="0" fontId="0" fillId="0" borderId="50" xfId="0" applyBorder="1"/>
    <xf numFmtId="0" fontId="22" fillId="3" borderId="55" xfId="0" applyFont="1" applyFill="1" applyBorder="1" applyAlignment="1">
      <alignment horizontal="center" vertical="center"/>
    </xf>
    <xf numFmtId="181" fontId="3" fillId="3" borderId="55" xfId="1" applyNumberFormat="1" applyFont="1" applyFill="1" applyBorder="1" applyAlignment="1">
      <alignment horizontal="center" vertical="center" wrapText="1"/>
    </xf>
  </cellXfs>
  <cellStyles count="2">
    <cellStyle name="Normal" xfId="0" builtinId="0"/>
    <cellStyle name="Normal 2" xfId="1" xr:uid="{00000000-0005-0000-0000-000001000000}"/>
  </cellStyles>
  <dxfs count="112">
    <dxf>
      <fill>
        <patternFill patternType="solid">
          <fgColor indexed="64"/>
          <bgColor rgb="FFFFFF00"/>
        </patternFill>
      </fill>
    </dxf>
    <dxf>
      <fill>
        <patternFill patternType="solid">
          <fgColor indexed="64"/>
          <bgColor rgb="FFFFFF00"/>
        </patternFill>
      </fill>
    </dxf>
    <dxf>
      <fill>
        <patternFill patternType="solid">
          <bgColor rgb="FFFFFF00"/>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color rgb="FF006100"/>
      </font>
      <fill>
        <patternFill patternType="solid">
          <fgColor indexed="64"/>
          <bgColor rgb="FFC6EFCE"/>
        </patternFill>
      </fill>
    </dxf>
    <dxf>
      <fill>
        <patternFill patternType="solid">
          <fgColor indexed="64"/>
          <bgColor rgb="FFFFFF00"/>
        </patternFill>
      </fill>
    </dxf>
    <dxf>
      <font>
        <strike val="0"/>
        <condense val="0"/>
        <extend val="0"/>
        <outline val="0"/>
        <shadow val="0"/>
        <vertAlign val="baseline"/>
        <sz val="10"/>
        <color auto="1"/>
        <name val="Segoe UI"/>
      </font>
      <numFmt numFmtId="174" formatCode="#,##0.0;\(#,##0.0\);\-"/>
      <fill>
        <patternFill patternType="solid">
          <fgColor indexed="64"/>
          <bgColor theme="0"/>
        </patternFill>
      </fill>
    </dxf>
    <dxf>
      <font>
        <strike val="0"/>
        <condense val="0"/>
        <extend val="0"/>
        <outline val="0"/>
        <shadow val="0"/>
        <vertAlign val="baseline"/>
        <sz val="10"/>
        <color auto="1"/>
        <name val="Segoe UI"/>
      </font>
      <numFmt numFmtId="174" formatCode="#,##0.0;\(#,##0.0\);\-"/>
      <fill>
        <patternFill patternType="solid">
          <fgColor indexed="64"/>
          <bgColor theme="0"/>
        </patternFill>
      </fill>
    </dxf>
    <dxf>
      <font>
        <strike val="0"/>
        <condense val="0"/>
        <extend val="0"/>
        <outline val="0"/>
        <shadow val="0"/>
        <vertAlign val="baseline"/>
        <sz val="10"/>
        <color auto="1"/>
        <name val="Segoe UI"/>
      </font>
      <numFmt numFmtId="174" formatCode="#,##0.0;\(#,##0.0\);\-"/>
      <fill>
        <patternFill patternType="solid">
          <fgColor indexed="64"/>
          <bgColor theme="0"/>
        </patternFill>
      </fill>
    </dxf>
    <dxf>
      <font>
        <strike val="0"/>
        <condense val="0"/>
        <extend val="0"/>
        <outline val="0"/>
        <shadow val="0"/>
        <vertAlign val="baseline"/>
        <sz val="10"/>
        <color auto="1"/>
        <name val="Segoe UI"/>
      </font>
      <numFmt numFmtId="2" formatCode="0.00"/>
      <fill>
        <patternFill patternType="solid">
          <fgColor indexed="64"/>
          <bgColor theme="0"/>
        </patternFill>
      </fill>
      <alignment horizontal="center" vertical="bottom"/>
    </dxf>
    <dxf>
      <font>
        <strike val="0"/>
        <condense val="0"/>
        <extend val="0"/>
        <outline val="0"/>
        <shadow val="0"/>
        <vertAlign val="baseline"/>
        <sz val="10"/>
        <color auto="1"/>
        <name val="Segoe UI"/>
      </font>
      <numFmt numFmtId="177" formatCode="yyyy\-mm\-dd"/>
      <fill>
        <patternFill patternType="solid">
          <fgColor indexed="64"/>
          <bgColor theme="0"/>
        </patternFill>
      </fill>
    </dxf>
    <dxf>
      <font>
        <strike val="0"/>
        <condense val="0"/>
        <extend val="0"/>
        <outline val="0"/>
        <shadow val="0"/>
        <vertAlign val="baseline"/>
        <sz val="10"/>
        <color auto="1"/>
        <name val="Segoe UI"/>
      </font>
      <numFmt numFmtId="3" formatCode="#,##0"/>
      <fill>
        <patternFill patternType="solid">
          <fgColor indexed="64"/>
          <bgColor theme="0"/>
        </patternFill>
      </fill>
    </dxf>
    <dxf>
      <font>
        <strike val="0"/>
        <condense val="0"/>
        <extend val="0"/>
        <outline val="0"/>
        <shadow val="0"/>
        <vertAlign val="baseline"/>
        <sz val="10"/>
        <color auto="1"/>
        <name val="Segoe UI"/>
      </font>
      <numFmt numFmtId="3" formatCode="#,##0"/>
      <fill>
        <patternFill patternType="solid">
          <fgColor indexed="64"/>
          <bgColor theme="0"/>
        </patternFill>
      </fill>
    </dxf>
    <dxf>
      <font>
        <strike val="0"/>
        <condense val="0"/>
        <extend val="0"/>
        <outline val="0"/>
        <shadow val="0"/>
        <vertAlign val="baseline"/>
        <sz val="10"/>
        <color auto="1"/>
        <name val="Segoe UI"/>
      </font>
      <numFmt numFmtId="3" formatCode="#,##0"/>
      <fill>
        <patternFill patternType="solid">
          <fgColor indexed="64"/>
          <bgColor theme="0"/>
        </patternFill>
      </fill>
    </dxf>
    <dxf>
      <font>
        <strike val="0"/>
        <condense val="0"/>
        <extend val="0"/>
        <outline val="0"/>
        <shadow val="0"/>
        <vertAlign val="baseline"/>
        <sz val="10"/>
        <color auto="1"/>
        <name val="Segoe UI"/>
      </font>
      <fill>
        <patternFill patternType="solid">
          <fgColor rgb="FFFFFF00"/>
          <bgColor theme="0"/>
        </patternFill>
      </fill>
      <alignment horizontal="center" vertical="bottom"/>
    </dxf>
    <dxf>
      <font>
        <strike val="0"/>
        <condense val="0"/>
        <extend val="0"/>
        <outline val="0"/>
        <shadow val="0"/>
        <vertAlign val="baseline"/>
        <sz val="10"/>
        <color auto="1"/>
        <name val="Segoe UI"/>
      </font>
      <fill>
        <patternFill patternType="solid">
          <fgColor rgb="FFFFFF00"/>
          <bgColor theme="0"/>
        </patternFill>
      </fill>
      <alignment horizontal="center" vertical="bottom"/>
    </dxf>
    <dxf>
      <font>
        <strike val="0"/>
        <condense val="0"/>
        <extend val="0"/>
        <outline val="0"/>
        <shadow val="0"/>
        <vertAlign val="baseline"/>
        <sz val="10"/>
        <color auto="1"/>
        <name val="Segoe UI"/>
      </font>
      <numFmt numFmtId="177" formatCode="yyyy\-mm\-dd"/>
      <fill>
        <patternFill patternType="solid">
          <fgColor rgb="FFFFFF00"/>
          <bgColor theme="0"/>
        </patternFill>
      </fill>
      <alignment horizontal="center" vertical="bottom"/>
    </dxf>
    <dxf>
      <font>
        <strike val="0"/>
        <condense val="0"/>
        <extend val="0"/>
        <outline val="0"/>
        <shadow val="0"/>
        <vertAlign val="baseline"/>
        <sz val="10"/>
        <color auto="1"/>
        <name val="Segoe UI"/>
      </font>
      <fill>
        <patternFill patternType="solid">
          <fgColor indexed="64"/>
          <bgColor theme="0"/>
        </patternFill>
      </fill>
    </dxf>
    <dxf>
      <font>
        <strike val="0"/>
        <condense val="0"/>
        <extend val="0"/>
        <outline val="0"/>
        <shadow val="0"/>
        <vertAlign val="baseline"/>
        <sz val="10"/>
        <color auto="1"/>
        <name val="Segoe UI"/>
      </font>
      <fill>
        <patternFill patternType="solid">
          <fgColor rgb="FFFFFF00"/>
          <bgColor theme="0"/>
        </patternFill>
      </fill>
    </dxf>
    <dxf>
      <font>
        <strike val="0"/>
        <condense val="0"/>
        <extend val="0"/>
        <outline val="0"/>
        <shadow val="0"/>
        <vertAlign val="baseline"/>
        <sz val="10"/>
        <color auto="1"/>
        <name val="Segoe UI"/>
      </font>
      <fill>
        <patternFill patternType="solid">
          <fgColor rgb="FFFFFF00"/>
          <bgColor theme="0"/>
        </patternFill>
      </fill>
    </dxf>
    <dxf>
      <font>
        <strike val="0"/>
        <condense val="0"/>
        <extend val="0"/>
        <outline val="0"/>
        <shadow val="0"/>
        <vertAlign val="baseline"/>
        <sz val="10"/>
        <color auto="1"/>
        <name val="Segoe UI"/>
      </font>
      <fill>
        <patternFill patternType="solid">
          <fgColor rgb="FFFFFF00"/>
          <bgColor theme="0"/>
        </patternFill>
      </fill>
    </dxf>
    <dxf>
      <font>
        <strike val="0"/>
        <condense val="0"/>
        <extend val="0"/>
        <outline val="0"/>
        <shadow val="0"/>
        <vertAlign val="baseline"/>
        <sz val="10"/>
        <color auto="1"/>
        <name val="Segoe UI"/>
      </font>
      <fill>
        <patternFill patternType="solid">
          <fgColor indexed="64"/>
          <bgColor theme="0"/>
        </patternFill>
      </fill>
    </dxf>
    <dxf>
      <font>
        <strike val="0"/>
        <condense val="0"/>
        <extend val="0"/>
        <outline val="0"/>
        <shadow val="0"/>
        <vertAlign val="baseline"/>
        <sz val="10"/>
        <color auto="1"/>
        <name val="Segoe UI"/>
      </font>
      <fill>
        <patternFill patternType="solid">
          <fgColor indexed="64"/>
          <bgColor theme="0"/>
        </patternFill>
      </fill>
      <alignment horizontal="center" vertical="bottom"/>
    </dxf>
    <dxf>
      <font>
        <strike val="0"/>
        <condense val="0"/>
        <extend val="0"/>
        <outline val="0"/>
        <shadow val="0"/>
        <vertAlign val="baseline"/>
        <sz val="10"/>
        <color auto="1"/>
        <name val="Segoe UI"/>
      </font>
      <fill>
        <patternFill patternType="solid">
          <fgColor indexed="64"/>
          <bgColor theme="0"/>
        </patternFill>
      </fill>
    </dxf>
    <dxf>
      <border outline="0">
        <bottom style="thin">
          <color rgb="FF808080"/>
        </bottom>
      </border>
    </dxf>
    <dxf>
      <font>
        <b/>
        <strike val="0"/>
        <condense val="0"/>
        <extend val="0"/>
        <outline val="0"/>
        <shadow val="0"/>
        <vertAlign val="baseline"/>
        <sz val="9"/>
        <color rgb="FFFFFFFF"/>
        <name val="Arial"/>
        <charset val="1"/>
      </font>
      <fill>
        <patternFill patternType="solid">
          <fgColor rgb="FF1B2A33"/>
          <bgColor rgb="FF23414F"/>
        </patternFill>
      </fill>
      <alignment horizontal="general" vertical="center" wrapText="1"/>
    </dxf>
    <dxf>
      <font>
        <strike val="0"/>
        <condense val="0"/>
        <extend val="0"/>
        <outline val="0"/>
        <shadow val="0"/>
        <vertAlign val="baseline"/>
        <sz val="10"/>
        <color rgb="FF000000"/>
        <name val="Segoe UI"/>
      </font>
      <alignment horizontal="center" vertical="center"/>
      <border>
        <left/>
        <right/>
        <top style="thin">
          <color rgb="FFE7E6E6"/>
        </top>
        <bottom/>
        <vertical/>
        <horizontal/>
      </border>
    </dxf>
    <dxf>
      <font>
        <strike val="0"/>
        <condense val="0"/>
        <extend val="0"/>
        <outline val="0"/>
        <shadow val="0"/>
        <vertAlign val="baseline"/>
        <sz val="10"/>
        <color rgb="FF000000"/>
        <name val="Segoe UI"/>
      </font>
      <numFmt numFmtId="167" formatCode="#,##0.000;\(#,##0.000\);\-"/>
      <alignment horizontal="general" vertical="center"/>
      <border>
        <left/>
        <right/>
        <top style="thin">
          <color rgb="FFE7E6E6"/>
        </top>
        <bottom/>
        <vertical/>
        <horizontal/>
      </border>
    </dxf>
    <dxf>
      <font>
        <strike val="0"/>
        <condense val="0"/>
        <extend val="0"/>
        <outline val="0"/>
        <shadow val="0"/>
        <vertAlign val="baseline"/>
        <sz val="10"/>
        <color rgb="FF000000"/>
        <name val="Segoe UI"/>
      </font>
      <alignment horizontal="center" vertical="center"/>
      <border>
        <left/>
        <right/>
        <top style="thin">
          <color rgb="FFE7E6E6"/>
        </top>
        <bottom/>
        <vertical/>
        <horizontal/>
      </border>
    </dxf>
    <dxf>
      <font>
        <strike val="0"/>
        <condense val="0"/>
        <extend val="0"/>
        <outline val="0"/>
        <shadow val="0"/>
        <vertAlign val="baseline"/>
        <sz val="10"/>
        <color rgb="FF000000"/>
        <name val="Segoe UI"/>
      </font>
      <alignmen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horizontal="center"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horizontal="center"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numFmt numFmtId="167" formatCode="#,##0.000;\(#,##0.000\);\-"/>
      <alignmen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numFmt numFmtId="168" formatCode="#,##0;\(#,##0\);\-"/>
      <alignment horizontal="center"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numFmt numFmtId="169" formatCode="0.0;\-0.0;"/>
      <alignment horizontal="center"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horizontal="left"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numFmt numFmtId="164" formatCode="dd\-mmm\-yy"/>
      <alignment horizontal="center"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horizontal="center" vertical="center"/>
      <border>
        <left/>
        <right/>
        <top style="thin">
          <color rgb="FFE7E6E6"/>
        </top>
        <bottom style="thin">
          <color rgb="FFE7E6E6"/>
        </bottom>
        <vertical/>
        <horizontal style="thin">
          <color rgb="FFE7E6E6"/>
        </horizontal>
      </border>
    </dxf>
    <dxf>
      <font>
        <strike val="0"/>
        <condense val="0"/>
        <extend val="0"/>
        <outline val="0"/>
        <shadow val="0"/>
        <vertAlign val="baseline"/>
        <sz val="10"/>
        <color rgb="FF000000"/>
        <name val="Segoe UI"/>
      </font>
      <alignment vertical="center"/>
    </dxf>
    <dxf>
      <border outline="0">
        <bottom style="thin">
          <color rgb="FF808080"/>
        </bottom>
      </border>
    </dxf>
    <dxf>
      <font>
        <b/>
        <strike val="0"/>
        <condense val="0"/>
        <extend val="0"/>
        <outline val="0"/>
        <shadow val="0"/>
        <vertAlign val="baseline"/>
        <sz val="10"/>
        <color rgb="FF000000"/>
        <name val="Segoe UI"/>
      </font>
      <fill>
        <patternFill patternType="solid">
          <fgColor indexed="64"/>
          <bgColor rgb="FFD9D9D9"/>
        </patternFill>
      </fill>
      <alignment horizontal="center" vertical="center" wrapText="1"/>
    </dxf>
    <dxf>
      <font>
        <strike val="0"/>
        <condense val="0"/>
        <extend val="0"/>
        <outline val="0"/>
        <shadow val="0"/>
        <vertAlign val="baseline"/>
        <sz val="10"/>
        <color auto="1"/>
        <name val="Segoe UI"/>
      </font>
      <numFmt numFmtId="30" formatCode="@"/>
    </dxf>
    <dxf>
      <font>
        <strike val="0"/>
        <condense val="0"/>
        <extend val="0"/>
        <outline val="0"/>
        <shadow val="0"/>
        <vertAlign val="baseline"/>
        <sz val="10"/>
        <color auto="1"/>
        <name val="Segoe UI"/>
      </font>
      <numFmt numFmtId="30" formatCode="@"/>
    </dxf>
    <dxf>
      <font>
        <strike val="0"/>
        <condense val="0"/>
        <extend val="0"/>
        <outline val="0"/>
        <shadow val="0"/>
        <vertAlign val="baseline"/>
        <sz val="10"/>
        <color auto="1"/>
        <name val="Segoe UI"/>
      </font>
      <numFmt numFmtId="30" formatCode="@"/>
    </dxf>
    <dxf>
      <font>
        <strike val="0"/>
        <condense val="0"/>
        <extend val="0"/>
        <outline val="0"/>
        <shadow val="0"/>
        <vertAlign val="baseline"/>
        <sz val="10"/>
        <color auto="1"/>
        <name val="Segoe UI"/>
      </font>
      <numFmt numFmtId="30" formatCode="@"/>
    </dxf>
    <dxf>
      <font>
        <strike val="0"/>
        <condense val="0"/>
        <extend val="0"/>
        <outline val="0"/>
        <shadow val="0"/>
        <vertAlign val="baseline"/>
        <sz val="10"/>
        <color auto="1"/>
        <name val="Segoe UI"/>
      </font>
    </dxf>
    <dxf>
      <font>
        <strike val="0"/>
        <condense val="0"/>
        <extend val="0"/>
        <outline val="0"/>
        <shadow val="0"/>
        <vertAlign val="baseline"/>
        <sz val="10"/>
        <color auto="1"/>
        <name val="Segoe UI"/>
      </font>
    </dxf>
    <dxf>
      <font>
        <strike val="0"/>
        <condense val="0"/>
        <extend val="0"/>
        <outline val="0"/>
        <shadow val="0"/>
        <vertAlign val="baseline"/>
        <sz val="10"/>
        <color auto="1"/>
        <name val="Segoe UI"/>
      </font>
      <alignment horizontal="center" vertical="bottom"/>
    </dxf>
    <dxf>
      <font>
        <strike val="0"/>
        <condense val="0"/>
        <extend val="0"/>
        <outline val="0"/>
        <shadow val="0"/>
        <vertAlign val="baseline"/>
        <sz val="10"/>
        <color auto="1"/>
        <name val="Segoe UI"/>
      </font>
      <numFmt numFmtId="168" formatCode="#,##0;\(#,##0\);\-"/>
    </dxf>
    <dxf>
      <font>
        <strike val="0"/>
        <condense val="0"/>
        <extend val="0"/>
        <outline val="0"/>
        <shadow val="0"/>
        <vertAlign val="baseline"/>
        <sz val="10"/>
        <color auto="1"/>
        <name val="Segoe UI"/>
      </font>
      <numFmt numFmtId="168" formatCode="#,##0;\(#,##0\);\-"/>
    </dxf>
    <dxf>
      <font>
        <strike val="0"/>
        <condense val="0"/>
        <extend val="0"/>
        <outline val="0"/>
        <shadow val="0"/>
        <vertAlign val="baseline"/>
        <sz val="10"/>
        <color auto="1"/>
        <name val="Segoe UI"/>
      </font>
      <numFmt numFmtId="167" formatCode="#,##0.000;\(#,##0.000\);\-"/>
    </dxf>
    <dxf>
      <font>
        <strike val="0"/>
        <condense val="0"/>
        <extend val="0"/>
        <outline val="0"/>
        <shadow val="0"/>
        <vertAlign val="baseline"/>
        <sz val="10"/>
        <color auto="1"/>
        <name val="Segoe UI"/>
      </font>
    </dxf>
    <dxf>
      <font>
        <strike val="0"/>
        <condense val="0"/>
        <extend val="0"/>
        <outline val="0"/>
        <shadow val="0"/>
        <vertAlign val="baseline"/>
        <sz val="10"/>
        <color auto="1"/>
        <name val="Segoe UI"/>
      </font>
      <alignment horizontal="center" vertical="bottom"/>
    </dxf>
    <dxf>
      <font>
        <strike val="0"/>
        <condense val="0"/>
        <extend val="0"/>
        <outline val="0"/>
        <shadow val="0"/>
        <vertAlign val="baseline"/>
        <sz val="10"/>
        <color auto="1"/>
        <name val="Segoe UI"/>
      </font>
      <alignment horizontal="center" vertical="bottom"/>
    </dxf>
    <dxf>
      <font>
        <strike val="0"/>
        <condense val="0"/>
        <extend val="0"/>
        <outline val="0"/>
        <shadow val="0"/>
        <vertAlign val="baseline"/>
        <sz val="10"/>
        <color auto="1"/>
        <name val="Segoe UI"/>
      </font>
    </dxf>
    <dxf>
      <font>
        <strike val="0"/>
        <condense val="0"/>
        <extend val="0"/>
        <outline val="0"/>
        <shadow val="0"/>
        <vertAlign val="baseline"/>
        <sz val="10"/>
        <color auto="1"/>
        <name val="Segoe UI"/>
      </font>
      <numFmt numFmtId="166" formatCode="dd\-mmm\-yyyy"/>
      <alignment horizontal="center" vertical="bottom"/>
    </dxf>
    <dxf>
      <font>
        <strike val="0"/>
        <condense val="0"/>
        <extend val="0"/>
        <outline val="0"/>
        <shadow val="0"/>
        <vertAlign val="baseline"/>
        <sz val="10"/>
        <color auto="1"/>
        <name val="Segoe UI"/>
      </font>
      <alignment horizontal="center" vertical="bottom"/>
    </dxf>
    <dxf>
      <font>
        <strike val="0"/>
        <condense val="0"/>
        <extend val="0"/>
        <outline val="0"/>
        <shadow val="0"/>
        <vertAlign val="baseline"/>
        <sz val="10"/>
        <color auto="1"/>
        <name val="Segoe UI"/>
      </font>
    </dxf>
    <dxf>
      <border outline="0">
        <bottom style="thin">
          <color rgb="FF808080"/>
        </bottom>
      </border>
    </dxf>
    <dxf>
      <font>
        <b/>
        <strike val="0"/>
        <condense val="0"/>
        <extend val="0"/>
        <outline val="0"/>
        <shadow val="0"/>
        <vertAlign val="baseline"/>
        <sz val="10"/>
        <color auto="1"/>
        <name val="Segoe UI"/>
      </font>
      <fill>
        <patternFill patternType="solid">
          <fgColor rgb="FFC0C0C0"/>
          <bgColor rgb="FFD9D9D9"/>
        </patternFill>
      </fill>
      <alignment horizontal="center" vertical="center" wrapText="1"/>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numFmt numFmtId="30" formatCode="@"/>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numFmt numFmtId="30" formatCode="@"/>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numFmt numFmtId="30" formatCode="@"/>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numFmt numFmtId="30" formatCode="@"/>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dxf>
    <dxf>
      <font>
        <b/>
        <strike val="0"/>
        <condense val="0"/>
        <extend val="0"/>
        <outline val="0"/>
        <shadow val="0"/>
        <vertAlign val="baseline"/>
        <sz val="10"/>
        <color auto="1"/>
        <name val="Segoe UI"/>
      </font>
      <fill>
        <patternFill patternType="solid">
          <fgColor indexed="64"/>
          <bgColor rgb="FFF2F2F2"/>
        </patternFill>
      </fill>
      <alignment horizontal="center" vertical="bottom"/>
    </dxf>
    <dxf>
      <font>
        <strike val="0"/>
        <condense val="0"/>
        <extend val="0"/>
        <outline val="0"/>
        <shadow val="0"/>
        <vertAlign val="baseline"/>
        <sz val="10"/>
        <color auto="1"/>
        <name val="Segoe UI"/>
      </font>
      <alignment horizontal="center" vertical="bottom"/>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numFmt numFmtId="168" formatCode="#,##0;\(#,##0\);\-"/>
    </dxf>
    <dxf>
      <font>
        <b/>
        <strike val="0"/>
        <condense val="0"/>
        <extend val="0"/>
        <outline val="0"/>
        <shadow val="0"/>
        <vertAlign val="baseline"/>
        <sz val="10"/>
        <color auto="1"/>
        <name val="Segoe UI"/>
      </font>
      <numFmt numFmtId="3" formatCode="#,##0"/>
      <fill>
        <patternFill patternType="solid">
          <fgColor indexed="64"/>
          <bgColor rgb="FFF2F2F2"/>
        </patternFill>
      </fill>
    </dxf>
    <dxf>
      <font>
        <strike val="0"/>
        <condense val="0"/>
        <extend val="0"/>
        <outline val="0"/>
        <shadow val="0"/>
        <vertAlign val="baseline"/>
        <sz val="10"/>
        <color auto="1"/>
        <name val="Segoe UI"/>
      </font>
      <numFmt numFmtId="168" formatCode="#,##0;\(#,##0\);\-"/>
    </dxf>
    <dxf>
      <font>
        <b/>
        <strike val="0"/>
        <condense val="0"/>
        <extend val="0"/>
        <outline val="0"/>
        <shadow val="0"/>
        <vertAlign val="baseline"/>
        <sz val="10"/>
        <color auto="1"/>
        <name val="Segoe UI"/>
      </font>
      <numFmt numFmtId="171" formatCode="#,##0.000"/>
      <fill>
        <patternFill patternType="solid">
          <fgColor indexed="64"/>
          <bgColor rgb="FFF2F2F2"/>
        </patternFill>
      </fill>
    </dxf>
    <dxf>
      <font>
        <strike val="0"/>
        <condense val="0"/>
        <extend val="0"/>
        <outline val="0"/>
        <shadow val="0"/>
        <vertAlign val="baseline"/>
        <sz val="10"/>
        <color auto="1"/>
        <name val="Segoe UI"/>
      </font>
      <numFmt numFmtId="167" formatCode="#,##0.000;\(#,##0.000\);\-"/>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dxf>
    <dxf>
      <font>
        <b/>
        <strike val="0"/>
        <condense val="0"/>
        <extend val="0"/>
        <outline val="0"/>
        <shadow val="0"/>
        <vertAlign val="baseline"/>
        <sz val="10"/>
        <color auto="1"/>
        <name val="Segoe UI"/>
      </font>
      <fill>
        <patternFill patternType="solid">
          <fgColor indexed="64"/>
          <bgColor rgb="FFF2F2F2"/>
        </patternFill>
      </fill>
      <alignment horizontal="center" vertical="bottom"/>
    </dxf>
    <dxf>
      <font>
        <strike val="0"/>
        <condense val="0"/>
        <extend val="0"/>
        <outline val="0"/>
        <shadow val="0"/>
        <vertAlign val="baseline"/>
        <sz val="10"/>
        <color auto="1"/>
        <name val="Segoe UI"/>
      </font>
      <alignment horizontal="center" vertical="bottom"/>
    </dxf>
    <dxf>
      <font>
        <b/>
        <strike val="0"/>
        <condense val="0"/>
        <extend val="0"/>
        <outline val="0"/>
        <shadow val="0"/>
        <vertAlign val="baseline"/>
        <sz val="10"/>
        <color auto="1"/>
        <name val="Segoe UI"/>
      </font>
      <fill>
        <patternFill patternType="solid">
          <fgColor indexed="64"/>
          <bgColor rgb="FFF2F2F2"/>
        </patternFill>
      </fill>
      <alignment horizontal="center" vertical="bottom"/>
    </dxf>
    <dxf>
      <font>
        <strike val="0"/>
        <condense val="0"/>
        <extend val="0"/>
        <outline val="0"/>
        <shadow val="0"/>
        <vertAlign val="baseline"/>
        <sz val="10"/>
        <color auto="1"/>
        <name val="Segoe UI"/>
      </font>
      <alignment horizontal="center" vertical="bottom"/>
    </dxf>
    <dxf>
      <font>
        <b/>
        <strike val="0"/>
        <condense val="0"/>
        <extend val="0"/>
        <outline val="0"/>
        <shadow val="0"/>
        <vertAlign val="baseline"/>
        <sz val="10"/>
        <color auto="1"/>
        <name val="Segoe UI"/>
      </font>
      <fill>
        <patternFill patternType="solid">
          <fgColor indexed="64"/>
          <bgColor rgb="FFF2F2F2"/>
        </patternFill>
      </fill>
    </dxf>
    <dxf>
      <font>
        <strike val="0"/>
        <condense val="0"/>
        <extend val="0"/>
        <outline val="0"/>
        <shadow val="0"/>
        <vertAlign val="baseline"/>
        <sz val="10"/>
        <color auto="1"/>
        <name val="Segoe UI"/>
      </font>
    </dxf>
    <dxf>
      <font>
        <b/>
        <strike val="0"/>
        <condense val="0"/>
        <extend val="0"/>
        <outline val="0"/>
        <shadow val="0"/>
        <vertAlign val="baseline"/>
        <sz val="10"/>
        <color auto="1"/>
        <name val="Segoe UI"/>
      </font>
      <fill>
        <patternFill patternType="solid">
          <fgColor indexed="64"/>
          <bgColor rgb="FFF2F2F2"/>
        </patternFill>
      </fill>
      <alignment horizontal="center" vertical="bottom"/>
    </dxf>
    <dxf>
      <font>
        <strike val="0"/>
        <condense val="0"/>
        <extend val="0"/>
        <outline val="0"/>
        <shadow val="0"/>
        <vertAlign val="baseline"/>
        <sz val="10"/>
        <color auto="1"/>
        <name val="Segoe UI"/>
      </font>
      <numFmt numFmtId="166" formatCode="dd\-mmm\-yyyy"/>
      <alignment horizontal="center" vertical="bottom"/>
    </dxf>
    <dxf>
      <font>
        <b/>
        <strike val="0"/>
        <condense val="0"/>
        <extend val="0"/>
        <outline val="0"/>
        <shadow val="0"/>
        <vertAlign val="baseline"/>
        <sz val="10"/>
        <color auto="1"/>
        <name val="Segoe UI"/>
      </font>
      <fill>
        <patternFill patternType="solid">
          <fgColor indexed="64"/>
          <bgColor rgb="FFF2F2F2"/>
        </patternFill>
      </fill>
      <alignment horizontal="center" vertical="bottom"/>
    </dxf>
    <dxf>
      <font>
        <strike val="0"/>
        <condense val="0"/>
        <extend val="0"/>
        <outline val="0"/>
        <shadow val="0"/>
        <vertAlign val="baseline"/>
        <sz val="10"/>
        <color auto="1"/>
        <name val="Segoe UI"/>
      </font>
      <alignment horizontal="center" vertical="bottom"/>
    </dxf>
    <dxf>
      <font>
        <b/>
        <sz val="10"/>
        <name val="Segoe UI"/>
      </font>
      <fill>
        <patternFill patternType="solid">
          <fgColor indexed="64"/>
          <bgColor rgb="FFF2F2F2"/>
        </patternFill>
      </fill>
    </dxf>
    <dxf>
      <font>
        <strike val="0"/>
        <condense val="0"/>
        <extend val="0"/>
        <outline val="0"/>
        <shadow val="0"/>
        <vertAlign val="baseline"/>
        <sz val="10"/>
        <color auto="1"/>
        <name val="Segoe UI"/>
      </font>
    </dxf>
    <dxf>
      <border outline="0">
        <bottom style="thin">
          <color rgb="FF808080"/>
        </bottom>
      </border>
    </dxf>
    <dxf>
      <font>
        <b/>
        <strike val="0"/>
        <condense val="0"/>
        <extend val="0"/>
        <outline val="0"/>
        <shadow val="0"/>
        <vertAlign val="baseline"/>
        <sz val="10"/>
        <color auto="1"/>
        <name val="Segoe UI"/>
      </font>
      <fill>
        <patternFill patternType="solid">
          <fgColor indexed="64"/>
          <bgColor rgb="FFD9D9D9"/>
        </patternFill>
      </fill>
      <alignment horizontal="center" vertical="center"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 displayName="tblIN" ref="A1:P52" totalsRowCount="1" headerRowDxfId="111" dataDxfId="109" totalsRowDxfId="108" headerRowBorderDxfId="110">
  <tableColumns count="16">
    <tableColumn id="1" xr3:uid="{00000000-0010-0000-0000-000001000000}" name="No." totalsRowLabel="Total" dataDxfId="107" totalsRowDxfId="106"/>
    <tableColumn id="2" xr3:uid="{00000000-0010-0000-0000-000002000000}" name="PO Date" dataDxfId="105" totalsRowDxfId="104"/>
    <tableColumn id="3" xr3:uid="{00000000-0010-0000-0000-000003000000}" name="PO No." dataDxfId="103" totalsRowDxfId="102"/>
    <tableColumn id="4" xr3:uid="{00000000-0010-0000-0000-000004000000}" name="Wood Type" dataDxfId="101" totalsRowDxfId="100"/>
    <tableColumn id="5" xr3:uid="{00000000-0010-0000-0000-000005000000}" name="Form" dataDxfId="99" totalsRowDxfId="98"/>
    <tableColumn id="6" xr3:uid="{00000000-0010-0000-0000-000006000000}" name="Supplier" dataDxfId="97" totalsRowDxfId="96"/>
    <tableColumn id="7" xr3:uid="{00000000-0010-0000-0000-000007000000}" name="Volume (m³)" totalsRowFunction="sum" dataDxfId="95" totalsRowDxfId="94"/>
    <tableColumn id="8" xr3:uid="{00000000-0010-0000-0000-000008000000}" name="Value (Rp)" totalsRowFunction="sum" dataDxfId="93" totalsRowDxfId="92"/>
    <tableColumn id="9" xr3:uid="{00000000-0010-0000-0000-000009000000}" name="Price per m³ (Rp)" dataDxfId="91" totalsRowDxfId="90">
      <calculatedColumnFormula>IF(G2=0,0,H2/G2)</calculatedColumnFormula>
    </tableColumn>
    <tableColumn id="10" xr3:uid="{00000000-0010-0000-0000-00000A000000}" name="Goods Status" dataDxfId="89" totalsRowDxfId="88">
      <calculatedColumnFormula>IF(OR(tblIN[[#This Row],[Receipt No.]]="",tblIN[[#This Row],[Receipt No.]]="Not received"),"Not received","Received")</calculatedColumnFormula>
    </tableColumn>
    <tableColumn id="11" xr3:uid="{00000000-0010-0000-0000-00000B000000}" name="Payment Status" dataDxfId="87" totalsRowDxfId="86">
      <calculatedColumnFormula>IF(OR(tblIN[[#This Row],[Payment No.]]="",tblIN[[#This Row],[Payment No.]]="Unpaid"),"Still on waiting Schedule Payment","Paid 100%")</calculatedColumnFormula>
    </tableColumn>
    <tableColumn id="13" xr3:uid="{00000000-0010-0000-0000-00000D000000}" name="Source" dataDxfId="85" totalsRowDxfId="84"/>
    <tableColumn id="14" xr3:uid="{00000000-0010-0000-0000-00000E000000}" name="Receipt No." dataDxfId="83" totalsRowDxfId="82"/>
    <tableColumn id="15" xr3:uid="{00000000-0010-0000-0000-00000F000000}" name="Invoice No. (Accurate)" dataDxfId="81" totalsRowDxfId="80"/>
    <tableColumn id="16" xr3:uid="{00000000-0010-0000-0000-000010000000}" name="Down Payment No." dataDxfId="79" totalsRowDxfId="78"/>
    <tableColumn id="17" xr3:uid="{00000000-0010-0000-0000-000011000000}" name="Payment No." dataDxfId="77" totalsRowDxfId="76"/>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INC" displayName="tblINC" ref="A1:J4">
  <autoFilter ref="A1:J4" xr:uid="{00000000-0009-0000-0100-000002000000}"/>
  <tableColumns count="10">
    <tableColumn id="1" xr3:uid="{00000000-0010-0000-0100-000001000000}" name="No."/>
    <tableColumn id="2" xr3:uid="{00000000-0010-0000-0100-000002000000}" name="Date"/>
    <tableColumn id="3" xr3:uid="{00000000-0010-0000-0100-000003000000}" name="Wood Type"/>
    <tableColumn id="4" xr3:uid="{00000000-0010-0000-0100-000004000000}" name="Thickness (cm)"/>
    <tableColumn id="5" xr3:uid="{00000000-0010-0000-0100-000005000000}" name="Qty (pcs)"/>
    <tableColumn id="6" xr3:uid="{00000000-0010-0000-0100-000006000000}" name="Volume (m³)"/>
    <tableColumn id="7" xr3:uid="{00000000-0010-0000-0100-000007000000}" name="Supplier"/>
    <tableColumn id="8" xr3:uid="{00000000-0010-0000-0100-000008000000}" name="PO No."/>
    <tableColumn id="9" xr3:uid="{00000000-0010-0000-0100-000009000000}" name="Source"/>
    <tableColumn id="10" xr3:uid="{00000000-0010-0000-0100-00000A000000}" name="Notes"/>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POTIN" displayName="tblPOTIN" ref="A1:P2" totalsRowShown="0" headerRowDxfId="75" dataDxfId="73" headerRowBorderDxfId="74">
  <autoFilter ref="A1:P2" xr:uid="{00000000-0009-0000-0100-000003000000}"/>
  <tableColumns count="16">
    <tableColumn id="1" xr3:uid="{00000000-0010-0000-0200-000001000000}" name="No." dataDxfId="72"/>
    <tableColumn id="2" xr3:uid="{00000000-0010-0000-0200-000002000000}" name="Tanggal PO" dataDxfId="71"/>
    <tableColumn id="3" xr3:uid="{00000000-0010-0000-0200-000003000000}" name="No. PO" dataDxfId="70"/>
    <tableColumn id="4" xr3:uid="{00000000-0010-0000-0200-000004000000}" name="Jenis Kayu" dataDxfId="69"/>
    <tableColumn id="5" xr3:uid="{00000000-0010-0000-0200-000005000000}" name="Bentuk" dataDxfId="68"/>
    <tableColumn id="6" xr3:uid="{00000000-0010-0000-0200-000006000000}" name="Supplier" dataDxfId="67"/>
    <tableColumn id="7" xr3:uid="{00000000-0010-0000-0200-000007000000}" name="Volume (m³)" dataDxfId="66"/>
    <tableColumn id="8" xr3:uid="{00000000-0010-0000-0200-000008000000}" name="Nilai (Rp)" dataDxfId="65"/>
    <tableColumn id="9" xr3:uid="{00000000-0010-0000-0200-000009000000}" name="Harga per m³ (Rp)" dataDxfId="64"/>
    <tableColumn id="10" xr3:uid="{00000000-0010-0000-0200-00000A000000}" name="Status Barang" dataDxfId="63"/>
    <tableColumn id="11" xr3:uid="{00000000-0010-0000-0200-00000B000000}" name="Status Bayar" dataDxfId="62"/>
    <tableColumn id="12" xr3:uid="{00000000-0010-0000-0200-00000C000000}" name="Sumber" dataDxfId="61"/>
    <tableColumn id="13" xr3:uid="{00000000-0010-0000-0200-00000D000000}" name="No. Penerimaan" dataDxfId="60"/>
    <tableColumn id="14" xr3:uid="{00000000-0010-0000-0200-00000E000000}" name="No. Faktur (Accurate)" dataDxfId="59"/>
    <tableColumn id="15" xr3:uid="{00000000-0010-0000-0200-00000F000000}" name="No. Uang Muka" dataDxfId="58"/>
    <tableColumn id="16" xr3:uid="{00000000-0010-0000-0200-000010000000}" name="No. Pembayaran" dataDxfId="5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OUT" displayName="tblOUT" ref="A13:P442" totalsRowShown="0" headerRowDxfId="56" dataDxfId="54" headerRowBorderDxfId="55">
  <tableColumns count="16">
    <tableColumn id="1" xr3:uid="{00000000-0010-0000-0300-000001000000}" name="No." dataDxfId="53"/>
    <tableColumn id="2" xr3:uid="{00000000-0010-0000-0300-000002000000}" name="Date" dataDxfId="52"/>
    <tableColumn id="3" xr3:uid="{00000000-0010-0000-0300-000003000000}" name="Wood Type" dataDxfId="51"/>
    <tableColumn id="4" xr3:uid="{00000000-0010-0000-0300-000004000000}" name="Thickness (cm)" dataDxfId="50"/>
    <tableColumn id="5" xr3:uid="{00000000-0010-0000-0300-000005000000}" name="Qty (pcs)" dataDxfId="49"/>
    <tableColumn id="6" xr3:uid="{00000000-0010-0000-0300-000006000000}" name="Volume (m³)" dataDxfId="48"/>
    <tableColumn id="7" xr3:uid="{00000000-0010-0000-0300-000007000000}" name="MO No." dataDxfId="47"/>
    <tableColumn id="8" xr3:uid="{00000000-0010-0000-0300-000008000000}" name="Customer" dataDxfId="46"/>
    <tableColumn id="9" xr3:uid="{00000000-0010-0000-0300-000009000000}" name="Product" dataDxfId="45"/>
    <tableColumn id="10" xr3:uid="{00000000-0010-0000-0300-00000A000000}" name="Category" dataDxfId="44"/>
    <tableColumn id="11" xr3:uid="{00000000-0010-0000-0300-00000B000000}" name="Source" dataDxfId="43"/>
    <tableColumn id="12" xr3:uid="{00000000-0010-0000-0300-00000C000000}" name="Notes" dataDxfId="42"/>
    <tableColumn id="13" xr3:uid="{00000000-0010-0000-0300-00000D000000}" name="Sample SPK" dataDxfId="41"/>
    <tableColumn id="14" xr3:uid="{00000000-0010-0000-0300-00000E000000}" name="Ref Adj" dataDxfId="40"/>
    <tableColumn id="15" xr3:uid="{00000000-0010-0000-0300-00000F000000}" name="Remaining Adj (m³)" dataDxfId="39">
      <calculatedColumnFormula>IF(AND(L14="Adjustment",N14="",P14&lt;&gt;"Explained"),F14+SUMIFS($F$14:$F$5084,$N$14:$N$5084,A14,$L$14:$L$5084,"Adjustment"),"")</calculatedColumnFormula>
    </tableColumn>
    <tableColumn id="16" xr3:uid="{00000000-0010-0000-0300-000010000000}" name="Adj Class" dataDxfId="38"/>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UNIT" displayName="tblUNIT" ref="A1:Q1048576" totalsRowShown="0" headerRowDxfId="37" dataDxfId="35" headerRowBorderDxfId="36">
  <autoFilter ref="A1:Q1048576" xr:uid="{00000000-0009-0000-0100-000005000000}"/>
  <tableColumns count="17">
    <tableColumn id="1" xr3:uid="{00000000-0010-0000-0400-000001000000}" name="Coder" dataDxfId="34"/>
    <tableColumn id="2" xr3:uid="{00000000-0010-0000-0400-000002000000}" name="MO No." dataDxfId="33"/>
    <tableColumn id="3" xr3:uid="{00000000-0010-0000-0400-000003000000}" name="Customer" dataDxfId="32"/>
    <tableColumn id="4" xr3:uid="{00000000-0010-0000-0400-000004000000}" name="STREAM" dataDxfId="31"/>
    <tableColumn id="5" xr3:uid="{00000000-0010-0000-0400-000005000000}" name="TYPE" dataDxfId="30"/>
    <tableColumn id="6" xr3:uid="{00000000-0010-0000-0400-000006000000}" name="No. SPK/PO" dataDxfId="29"/>
    <tableColumn id="7" xr3:uid="{00000000-0010-0000-0400-000007000000}" name="Tanggal SPK" dataDxfId="28"/>
    <tableColumn id="8" xr3:uid="{00000000-0010-0000-0400-000008000000}" name="Pemasok" dataDxfId="27"/>
    <tableColumn id="9" xr3:uid="{00000000-0010-0000-0400-000009000000}" name="Kode Barang" dataDxfId="26"/>
    <tableColumn id="10" xr3:uid="{00000000-0010-0000-0400-00000A000000}" name="Nama Barang" dataDxfId="25"/>
    <tableColumn id="11" xr3:uid="{00000000-0010-0000-0400-00000B000000}" name="Material" dataDxfId="24"/>
    <tableColumn id="12" xr3:uid="{00000000-0010-0000-0400-00000C000000}" name="Qty di SPK/PO(Unit)" dataDxfId="23"/>
    <tableColumn id="13" xr3:uid="{00000000-0010-0000-0400-00000D000000}" name="Deadline" dataDxfId="22"/>
    <tableColumn id="14" xr3:uid="{00000000-0010-0000-0400-00000E000000}" name="Not Started Yet Stage" dataDxfId="21"/>
    <tableColumn id="15" xr3:uid="{00000000-0010-0000-0400-00000F000000}" name="Material Preparation (Pembahanan) Stage" dataDxfId="20"/>
    <tableColumn id="16" xr3:uid="{00000000-0010-0000-0400-000010000000}" name="Machining Stage" dataDxfId="19"/>
    <tableColumn id="17" xr3:uid="{00000000-0010-0000-0400-000011000000}" name="Assembling Stage" dataDxfId="1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1"/>
  <sheetViews>
    <sheetView showGridLines="0" topLeftCell="A11" zoomScale="85" zoomScaleNormal="85" workbookViewId="0">
      <pane ySplit="5" topLeftCell="A16" activePane="bottomLeft" state="frozen"/>
      <selection activeCell="A11" sqref="A11"/>
      <selection pane="bottomLeft" activeCell="Q27" sqref="Q27"/>
    </sheetView>
  </sheetViews>
  <sheetFormatPr defaultColWidth="8.7109375" defaultRowHeight="15" x14ac:dyDescent="0.25"/>
  <cols>
    <col min="1" max="1" width="2.28515625" customWidth="1"/>
    <col min="2" max="2" width="36.42578125" bestFit="1" customWidth="1"/>
    <col min="3" max="3" width="14.28515625" bestFit="1" customWidth="1"/>
    <col min="4" max="4" width="12.5703125" bestFit="1" customWidth="1"/>
    <col min="5" max="5" width="13.140625" customWidth="1"/>
    <col min="6" max="6" width="16.85546875" bestFit="1" customWidth="1"/>
    <col min="7" max="7" width="16.28515625" bestFit="1" customWidth="1"/>
    <col min="8" max="9" width="2.7109375" customWidth="1"/>
    <col min="10" max="10" width="10.42578125" bestFit="1" customWidth="1"/>
  </cols>
  <sheetData>
    <row r="1" spans="1:11" ht="27.95" customHeight="1" thickBot="1" x14ac:dyDescent="0.3">
      <c r="A1" s="16"/>
      <c r="B1" s="228" t="s">
        <v>22</v>
      </c>
      <c r="C1" s="229"/>
      <c r="D1" s="229"/>
      <c r="E1" s="229"/>
      <c r="F1" s="229"/>
      <c r="G1" s="229"/>
      <c r="H1" s="229"/>
      <c r="I1" s="16"/>
      <c r="J1" s="16"/>
    </row>
    <row r="2" spans="1:11" ht="15" customHeight="1" thickTop="1" x14ac:dyDescent="0.25">
      <c r="A2" s="16"/>
      <c r="B2" s="17"/>
      <c r="C2" s="16"/>
      <c r="D2" s="16"/>
      <c r="E2" s="16"/>
      <c r="F2" s="16"/>
      <c r="G2" s="16"/>
      <c r="H2" s="16"/>
      <c r="I2" s="16"/>
      <c r="J2" s="16"/>
    </row>
    <row r="3" spans="1:11" ht="15" customHeight="1" x14ac:dyDescent="0.25">
      <c r="A3" s="16"/>
      <c r="B3" s="230" t="s">
        <v>23</v>
      </c>
      <c r="C3" s="16"/>
      <c r="D3" s="16"/>
      <c r="E3" s="16"/>
      <c r="F3" s="16"/>
      <c r="G3" s="16"/>
      <c r="H3" s="16"/>
      <c r="I3" s="16"/>
      <c r="J3" s="16"/>
    </row>
    <row r="4" spans="1:11" ht="15.95" customHeight="1" x14ac:dyDescent="0.25">
      <c r="A4" s="16"/>
      <c r="B4" s="309" t="str">
        <f>"1. Wood received: "&amp;TEXT(F17,"0.00")&amp;" m³, Rp "&amp;TEXT(F18,"#,##0")&amp;"."</f>
        <v>1. Wood received: 227.34 m³, Rp 1,512,843,233.</v>
      </c>
      <c r="C4" s="310"/>
      <c r="D4" s="310"/>
      <c r="E4" s="310"/>
      <c r="F4" s="310"/>
      <c r="G4" s="310"/>
      <c r="H4" s="16"/>
      <c r="I4" s="16"/>
      <c r="J4" s="16"/>
    </row>
    <row r="5" spans="1:11" ht="31.5" customHeight="1" x14ac:dyDescent="0.25">
      <c r="A5" s="16"/>
      <c r="B5" s="309" t="str">
        <f>"2. Wood inventory: Rp "&amp;TEXT(F42,"#,##0")&amp;", consisting of board stock and WIP in-house. Shipped to Plant 1: Rp "&amp;TEXT(F45,"#,##0")&amp;"."</f>
        <v>2. Wood inventory: Rp 279,614,925, consisting of board stock and WIP in-house. Shipped to Plant 1: Rp 1,233,228,308.</v>
      </c>
      <c r="C5" s="310"/>
      <c r="D5" s="310"/>
      <c r="E5" s="310"/>
      <c r="F5" s="310"/>
      <c r="G5" s="310"/>
      <c r="H5" s="16"/>
      <c r="I5" s="16"/>
      <c r="J5" s="16"/>
    </row>
    <row r="6" spans="1:11" ht="25.5" customHeight="1" x14ac:dyDescent="0.25">
      <c r="A6" s="16"/>
      <c r="B6" s="309" t="str">
        <f>"3. Wood used per chair: "&amp;TEXT(F35,"0.0000")&amp;" m³ against a benchmark of "&amp;TEXT(F36,"0.0000")&amp;" m³. Wood cost per chair: Rp "&amp;TEXT(F37,"#,##0")&amp;"."</f>
        <v>3. Wood used per chair: 0.0493 m³ against a benchmark of 0.0500 m³. Wood cost per chair: Rp 328,510.</v>
      </c>
      <c r="C6" s="310"/>
      <c r="D6" s="310"/>
      <c r="E6" s="310"/>
      <c r="F6" s="310"/>
      <c r="G6" s="310"/>
      <c r="H6" s="16"/>
      <c r="I6" s="16"/>
      <c r="J6" s="16"/>
    </row>
    <row r="7" spans="1:11" ht="43.5" customHeight="1" x14ac:dyDescent="0.25">
      <c r="A7" s="16"/>
      <c r="B7" s="311" t="str">
        <f>_xlfn.LET(_xlpm.t,SUMIFS(OUT!$F$14:$F$5084,OUT!$L$14:$L$5084,"Adjustment"),_xlpm.p,SUMIFS(OUT!$O$14:$O$5084,OUT!$L$14:$L$5084,"Adjustment",OUT!$B$14:$B$5084,"&lt;"&amp;'OUT Since Sep'!$B$1)+SUMIFS(OUT!$F$14:$F$5084,OUT!$P$14:$P$5084,"Explained",OUT!$N$14:$N$5084,"",OUT!$B$14:$B$5084,"&lt;"&amp;'OUT Since Sep'!$B$1),"4. Stock adjustment without a usage record: "&amp;TEXT(_xlpm.t,"0.00")&amp;" m³ ("&amp;TEXT(_xlpm.t/F26,"0%")&amp;" of wood used). Before Sep (Edy era, missed records): "&amp;TEXT(_xlpm.p,"0.00")&amp;" m³. Since Sep: "&amp;TEXT(_xlpm.t-_xlpm.p,"0.00")&amp;" m³. "&amp;IF(F35&lt;=F36,"Wood used per chair is within benchmark, so the adjustment is accepted, but its use in production or as scrap cannot be verified.","Wood used per chair is above benchmark, and the use of the adjustment in production or as scrap cannot be verified."))</f>
        <v>4. Stock adjustment without a usage record: 28.81 m³ (14% of wood used). Before Sep (Edy era, missed records): 28.61 m³. Since Sep: 0.20 m³. Wood used per chair is within benchmark, so the adjustment is accepted, but its use in production or as scrap cannot be verified.</v>
      </c>
      <c r="C7" s="310"/>
      <c r="D7" s="310"/>
      <c r="E7" s="310"/>
      <c r="F7" s="310"/>
      <c r="G7" s="310"/>
      <c r="H7" s="16"/>
      <c r="I7" s="16"/>
      <c r="J7" s="16"/>
    </row>
    <row r="8" spans="1:11" ht="36" customHeight="1" x14ac:dyDescent="0.25">
      <c r="A8" s="16"/>
      <c r="B8" s="309" t="str">
        <f>"5. Without a BoM per product, overuse on individual products or MOs cannot be identified, even when the overall average is within benchmark."</f>
        <v>5. Without a BoM per product, overuse on individual products or MOs cannot be identified, even when the overall average is within benchmark.</v>
      </c>
      <c r="C8" s="310"/>
      <c r="D8" s="310"/>
      <c r="E8" s="310"/>
      <c r="F8" s="310"/>
      <c r="G8" s="310"/>
      <c r="H8" s="16"/>
      <c r="I8" s="16"/>
      <c r="J8" s="16"/>
    </row>
    <row r="9" spans="1:11" ht="25.5" customHeight="1" x14ac:dyDescent="0.25">
      <c r="A9" s="16"/>
      <c r="B9" s="309" t="str">
        <f>"6. Required: a complete record of every wood issue, and a BoM per product."</f>
        <v>6. Required: a complete record of every wood issue, and a BoM per product.</v>
      </c>
      <c r="C9" s="310"/>
      <c r="D9" s="310"/>
      <c r="E9" s="310"/>
      <c r="F9" s="310"/>
      <c r="G9" s="310"/>
      <c r="H9" s="16"/>
      <c r="I9" s="16"/>
      <c r="J9" s="16"/>
    </row>
    <row r="10" spans="1:11" ht="18" customHeight="1" thickBot="1" x14ac:dyDescent="0.3">
      <c r="A10" s="16"/>
      <c r="B10" s="16"/>
      <c r="C10" s="16"/>
      <c r="D10" s="16"/>
      <c r="E10" s="16"/>
      <c r="F10" s="16"/>
      <c r="G10" s="16"/>
      <c r="H10" s="16"/>
      <c r="I10" s="16"/>
      <c r="J10" s="16"/>
    </row>
    <row r="11" spans="1:11" ht="21" customHeight="1" thickBot="1" x14ac:dyDescent="0.3">
      <c r="A11" s="16"/>
      <c r="B11" s="234" t="s">
        <v>24</v>
      </c>
      <c r="C11" s="234"/>
      <c r="D11" s="234"/>
      <c r="E11" s="234"/>
      <c r="F11" s="234"/>
      <c r="G11" s="235" t="s">
        <v>25</v>
      </c>
      <c r="H11" s="259"/>
      <c r="I11" s="259"/>
      <c r="J11" s="259"/>
      <c r="K11" s="201"/>
    </row>
    <row r="12" spans="1:11" ht="18" customHeight="1" x14ac:dyDescent="0.25">
      <c r="A12" s="16"/>
      <c r="B12" s="231" t="s">
        <v>26</v>
      </c>
      <c r="C12" s="232">
        <v>0.05</v>
      </c>
      <c r="D12" s="233"/>
      <c r="E12" s="233"/>
      <c r="F12" s="233"/>
      <c r="G12" s="150" t="s">
        <v>27</v>
      </c>
      <c r="H12" s="259"/>
      <c r="I12" s="259"/>
      <c r="J12" s="259"/>
      <c r="K12" s="201"/>
    </row>
    <row r="13" spans="1:11" ht="18" customHeight="1" x14ac:dyDescent="0.25">
      <c r="A13" s="16"/>
      <c r="B13" s="93" t="s">
        <v>28</v>
      </c>
      <c r="C13" s="136">
        <v>0.1</v>
      </c>
      <c r="D13" s="137"/>
      <c r="E13" s="137"/>
      <c r="F13" s="137"/>
      <c r="G13" s="133" t="s">
        <v>27</v>
      </c>
      <c r="H13" s="259"/>
      <c r="I13" s="259"/>
      <c r="J13" s="259"/>
      <c r="K13" s="201"/>
    </row>
    <row r="14" spans="1:11" ht="18" customHeight="1" thickBot="1" x14ac:dyDescent="0.3">
      <c r="A14" s="16"/>
      <c r="B14" s="16"/>
      <c r="C14" s="84"/>
      <c r="D14" s="84"/>
      <c r="E14" s="84"/>
      <c r="F14" s="84"/>
      <c r="G14" s="18"/>
      <c r="H14" s="259"/>
      <c r="I14" s="259"/>
      <c r="J14" s="259"/>
      <c r="K14" s="201"/>
    </row>
    <row r="15" spans="1:11" ht="24" customHeight="1" thickBot="1" x14ac:dyDescent="0.3">
      <c r="A15" s="16"/>
      <c r="B15" s="237" t="s">
        <v>29</v>
      </c>
      <c r="C15" s="238" t="s">
        <v>13</v>
      </c>
      <c r="D15" s="238" t="s">
        <v>15</v>
      </c>
      <c r="E15" s="238" t="s">
        <v>17</v>
      </c>
      <c r="F15" s="238" t="s">
        <v>30</v>
      </c>
      <c r="G15" s="235" t="s">
        <v>25</v>
      </c>
      <c r="H15" s="259"/>
      <c r="I15" s="259"/>
      <c r="J15" s="260" t="s">
        <v>31</v>
      </c>
      <c r="K15" s="201"/>
    </row>
    <row r="16" spans="1:11" ht="21.95" customHeight="1" x14ac:dyDescent="0.25">
      <c r="A16" s="16"/>
      <c r="B16" s="244" t="s">
        <v>32</v>
      </c>
      <c r="C16" s="153"/>
      <c r="D16" s="153"/>
      <c r="E16" s="153"/>
      <c r="F16" s="153"/>
      <c r="G16" s="131"/>
      <c r="H16" s="261"/>
      <c r="I16" s="261"/>
      <c r="J16" s="262"/>
    </row>
    <row r="17" spans="1:10" ht="18" customHeight="1" x14ac:dyDescent="0.25">
      <c r="A17" s="16"/>
      <c r="B17" s="147" t="s">
        <v>33</v>
      </c>
      <c r="C17" s="148">
        <f>SUMIFS(IN!$G$2:$G$5001,IN!$D$2:$D$5001,"Teak",IN!$J$2:$J$5001,"Received")</f>
        <v>148.16233599999998</v>
      </c>
      <c r="D17" s="148">
        <f>SUMIFS(IN!$G$2:$G$5001,IN!$D$2:$D$5001,"Sungkai",IN!$J$2:$J$5001,"Received")</f>
        <v>78.193030681818172</v>
      </c>
      <c r="E17" s="148">
        <f>SUMIFS(IN!$G$2:$G$5001,IN!$D$2:$D$5001,"Pine",IN!$J$2:$J$5001,"Received")</f>
        <v>0.9839</v>
      </c>
      <c r="F17" s="149">
        <f>SUM(C17:E17)</f>
        <v>227.33926668181817</v>
      </c>
      <c r="G17" s="150" t="s">
        <v>34</v>
      </c>
      <c r="H17" s="16"/>
      <c r="I17" s="16"/>
      <c r="J17" s="146">
        <f>ROUND(F17-SUMIFS(IN!$G$2:$G$5001,IN!$J$2:$J$5001,"Received"),6)</f>
        <v>0</v>
      </c>
    </row>
    <row r="18" spans="1:10" ht="18" customHeight="1" x14ac:dyDescent="0.25">
      <c r="A18" s="16"/>
      <c r="B18" s="134" t="s">
        <v>35</v>
      </c>
      <c r="C18" s="138">
        <f>SUMIFS(IN!$H$2:$H$5001,IN!$D$2:$D$5001,"Teak",IN!$J$2:$J$5001,"Received")</f>
        <v>1114633475.5</v>
      </c>
      <c r="D18" s="138">
        <f>SUMIFS(IN!$H$2:$H$5001,IN!$D$2:$D$5001,"Sungkai",IN!$J$2:$J$5001,"Received")</f>
        <v>395159667.75</v>
      </c>
      <c r="E18" s="138">
        <f>SUMIFS(IN!$H$2:$H$5001,IN!$D$2:$D$5001,"Pine",IN!$J$2:$J$5001,"Received")</f>
        <v>3050090</v>
      </c>
      <c r="F18" s="140">
        <f>SUM(C18:E18)</f>
        <v>1512843233.25</v>
      </c>
      <c r="G18" s="133" t="s">
        <v>34</v>
      </c>
      <c r="H18" s="16"/>
      <c r="I18" s="16"/>
      <c r="J18" s="146">
        <f>ROUND(F18-SUMIFS(IN!$H$2:$H$5001,IN!$J$2:$J$5001,"Received"),0)</f>
        <v>0</v>
      </c>
    </row>
    <row r="19" spans="1:10" ht="18" customHeight="1" x14ac:dyDescent="0.25">
      <c r="A19" s="16"/>
      <c r="B19" s="135" t="s">
        <v>36</v>
      </c>
      <c r="C19" s="143">
        <f>IF(C17=0,0,C18/C17)</f>
        <v>7523055.4916466773</v>
      </c>
      <c r="D19" s="143">
        <f>IF(D17=0,0,D18/D17)</f>
        <v>5053643.0715670474</v>
      </c>
      <c r="E19" s="143">
        <f>IF(E17=0,0,E18/E17)</f>
        <v>3100000</v>
      </c>
      <c r="F19" s="144">
        <f>IF(F17=0,0,F18/F17)</f>
        <v>6654561.9475730984</v>
      </c>
      <c r="G19" s="132" t="s">
        <v>37</v>
      </c>
      <c r="H19" s="16"/>
      <c r="I19" s="16"/>
      <c r="J19" s="145"/>
    </row>
    <row r="20" spans="1:10" ht="18" customHeight="1" x14ac:dyDescent="0.25">
      <c r="A20" s="16"/>
      <c r="B20" s="116"/>
      <c r="C20" s="151"/>
      <c r="D20" s="151"/>
      <c r="E20" s="151"/>
      <c r="F20" s="151"/>
      <c r="G20" s="152"/>
      <c r="H20" s="16"/>
      <c r="I20" s="16"/>
      <c r="J20" s="145"/>
    </row>
    <row r="21" spans="1:10" ht="21.95" customHeight="1" x14ac:dyDescent="0.25">
      <c r="A21" s="16"/>
      <c r="B21" s="244" t="s">
        <v>38</v>
      </c>
      <c r="C21" s="153"/>
      <c r="D21" s="153"/>
      <c r="E21" s="153"/>
      <c r="F21" s="153"/>
      <c r="G21" s="131"/>
      <c r="H21" s="16"/>
      <c r="I21" s="16"/>
      <c r="J21" s="145"/>
    </row>
    <row r="22" spans="1:10" ht="18" customHeight="1" x14ac:dyDescent="0.25">
      <c r="A22" s="16"/>
      <c r="B22" s="147" t="s">
        <v>33</v>
      </c>
      <c r="C22" s="148">
        <f>SUMIFS(STOK!$M$5:$M$5002,STOK!$A$5:$A$5002,"Teak")</f>
        <v>16.12396</v>
      </c>
      <c r="D22" s="148">
        <f>SUMIFS(STOK!$M$5:$M$5002,STOK!$A$5:$A$5002,"Sungkai")</f>
        <v>9.9301209999999998</v>
      </c>
      <c r="E22" s="148">
        <f>SUMIFS(STOK!$M$5:$M$5002,STOK!$A$5:$A$5002,"Pine")</f>
        <v>0.12217999999999959</v>
      </c>
      <c r="F22" s="149">
        <f>SUM(C22:E22)</f>
        <v>26.176261</v>
      </c>
      <c r="G22" s="150" t="s">
        <v>37</v>
      </c>
      <c r="H22" s="16"/>
      <c r="I22" s="16"/>
      <c r="J22" s="146">
        <f>ROUND(F22-STOK!$M$32,6)</f>
        <v>0</v>
      </c>
    </row>
    <row r="23" spans="1:10" ht="18" customHeight="1" x14ac:dyDescent="0.25">
      <c r="A23" s="16"/>
      <c r="B23" s="135" t="s">
        <v>35</v>
      </c>
      <c r="C23" s="143">
        <f>C22*C19</f>
        <v>121301445.82509136</v>
      </c>
      <c r="D23" s="143">
        <f>D22*D19</f>
        <v>50183287.191472441</v>
      </c>
      <c r="E23" s="143">
        <f>E22*E19</f>
        <v>378757.99999999872</v>
      </c>
      <c r="F23" s="144">
        <f>SUM(C23:E23)</f>
        <v>171863491.0165638</v>
      </c>
      <c r="G23" s="132" t="s">
        <v>37</v>
      </c>
      <c r="H23" s="16"/>
      <c r="I23" s="16"/>
      <c r="J23" s="146">
        <f>ROUND(F23-SUMPRODUCT(C22:E22,C19:E19),0)</f>
        <v>0</v>
      </c>
    </row>
    <row r="24" spans="1:10" ht="18" customHeight="1" x14ac:dyDescent="0.25">
      <c r="A24" s="16"/>
      <c r="B24" s="116"/>
      <c r="C24" s="151"/>
      <c r="D24" s="151"/>
      <c r="E24" s="151"/>
      <c r="F24" s="151"/>
      <c r="G24" s="152"/>
      <c r="H24" s="16"/>
      <c r="I24" s="16"/>
      <c r="J24" s="145"/>
    </row>
    <row r="25" spans="1:10" ht="21.95" customHeight="1" x14ac:dyDescent="0.25">
      <c r="A25" s="16"/>
      <c r="B25" s="244" t="s">
        <v>39</v>
      </c>
      <c r="C25" s="153"/>
      <c r="D25" s="153"/>
      <c r="E25" s="153"/>
      <c r="F25" s="153"/>
      <c r="G25" s="131"/>
      <c r="H25" s="16"/>
      <c r="I25" s="16"/>
      <c r="J25" s="145"/>
    </row>
    <row r="26" spans="1:10" ht="18" customHeight="1" x14ac:dyDescent="0.25">
      <c r="A26" s="16"/>
      <c r="B26" s="147" t="s">
        <v>33</v>
      </c>
      <c r="C26" s="148">
        <f t="shared" ref="C26:E27" si="0">C17-C22</f>
        <v>132.03837599999997</v>
      </c>
      <c r="D26" s="148">
        <f t="shared" si="0"/>
        <v>68.262909681818172</v>
      </c>
      <c r="E26" s="148">
        <f t="shared" si="0"/>
        <v>0.86172000000000037</v>
      </c>
      <c r="F26" s="149">
        <f>SUM(C26:E26)</f>
        <v>201.16300568181813</v>
      </c>
      <c r="G26" s="150" t="s">
        <v>37</v>
      </c>
      <c r="H26" s="16"/>
      <c r="I26" s="16"/>
      <c r="J26" s="146">
        <f>ROUND(F26-SUM(OUT!$F$14:$F$5084),6)</f>
        <v>0</v>
      </c>
    </row>
    <row r="27" spans="1:10" ht="18" customHeight="1" x14ac:dyDescent="0.25">
      <c r="A27" s="16"/>
      <c r="B27" s="135" t="s">
        <v>35</v>
      </c>
      <c r="C27" s="143">
        <f t="shared" si="0"/>
        <v>993332029.67490864</v>
      </c>
      <c r="D27" s="143">
        <f t="shared" si="0"/>
        <v>344976380.55852759</v>
      </c>
      <c r="E27" s="143">
        <f t="shared" si="0"/>
        <v>2671332.0000000014</v>
      </c>
      <c r="F27" s="144">
        <f>SUM(C27:E27)</f>
        <v>1340979742.2334361</v>
      </c>
      <c r="G27" s="132" t="s">
        <v>37</v>
      </c>
      <c r="H27" s="16"/>
      <c r="I27" s="16"/>
      <c r="J27" s="146">
        <f>ROUND(F27-(F18-F23),0)</f>
        <v>0</v>
      </c>
    </row>
    <row r="28" spans="1:10" ht="18" customHeight="1" x14ac:dyDescent="0.25">
      <c r="A28" s="16"/>
      <c r="B28" s="116"/>
      <c r="C28" s="151"/>
      <c r="D28" s="151"/>
      <c r="E28" s="151"/>
      <c r="F28" s="151"/>
      <c r="G28" s="152"/>
      <c r="H28" s="16"/>
      <c r="I28" s="16"/>
      <c r="J28" s="145"/>
    </row>
    <row r="29" spans="1:10" ht="21.95" customHeight="1" x14ac:dyDescent="0.25">
      <c r="A29" s="16"/>
      <c r="B29" s="244" t="s">
        <v>40</v>
      </c>
      <c r="C29" s="153"/>
      <c r="D29" s="153"/>
      <c r="E29" s="153"/>
      <c r="F29" s="153"/>
      <c r="G29" s="131"/>
      <c r="H29" s="16"/>
      <c r="I29" s="16"/>
      <c r="J29" s="145"/>
    </row>
    <row r="30" spans="1:10" ht="18" customHeight="1" x14ac:dyDescent="0.25">
      <c r="A30" s="16"/>
      <c r="B30" s="147" t="s">
        <v>41</v>
      </c>
      <c r="C30" s="154">
        <f>SUMIFS(REALDATA!$O$2:$O$1048576,REALDATA!$K$2:$K$1048576,"Teak")</f>
        <v>3106</v>
      </c>
      <c r="D30" s="154">
        <f>SUMIFS(REALDATA!$O$2:$O$1048576,REALDATA!$K$2:$K$1048576,"Sungkai")</f>
        <v>961</v>
      </c>
      <c r="E30" s="154">
        <f>SUMIFS(REALDATA!$O$2:$O$1048576,REALDATA!$K$2:$K$1048576,"Pinus")</f>
        <v>15</v>
      </c>
      <c r="F30" s="155">
        <f>SUM(C30:E30)</f>
        <v>4082</v>
      </c>
      <c r="G30" s="150" t="s">
        <v>37</v>
      </c>
      <c r="H30" s="16"/>
      <c r="I30" s="16"/>
      <c r="J30" s="146">
        <f>ROUND(F30-SUM(REALDATA!$O$2:$O$1048576),6)</f>
        <v>0</v>
      </c>
    </row>
    <row r="31" spans="1:10" ht="18" customHeight="1" x14ac:dyDescent="0.25">
      <c r="A31" s="16"/>
      <c r="B31" s="134" t="s">
        <v>42</v>
      </c>
      <c r="C31" s="139">
        <f>SUMIFS(REALDATA!$V$2:$V$1048576,REALDATA!$K$2:$K$1048576,"Teak")</f>
        <v>2811</v>
      </c>
      <c r="D31" s="139">
        <f>SUMIFS(REALDATA!$V$2:$V$1048576,REALDATA!$K$2:$K$1048576,"Sungkai")</f>
        <v>943</v>
      </c>
      <c r="E31" s="139">
        <f>SUMIFS(REALDATA!$V$2:$V$1048576,REALDATA!$K$2:$K$1048576,"Pinus")</f>
        <v>0</v>
      </c>
      <c r="F31" s="141">
        <f>SUM(C31:E31)</f>
        <v>3754</v>
      </c>
      <c r="G31" s="133" t="s">
        <v>37</v>
      </c>
      <c r="H31" s="16"/>
      <c r="I31" s="16"/>
      <c r="J31" s="146">
        <f>ROUND(F31-SUM(REALDATA!$V$2:$V$1048576),6)</f>
        <v>0</v>
      </c>
    </row>
    <row r="32" spans="1:10" ht="18" customHeight="1" x14ac:dyDescent="0.25">
      <c r="A32" s="16"/>
      <c r="B32" s="135" t="s">
        <v>43</v>
      </c>
      <c r="C32" s="156">
        <f>C30-C31</f>
        <v>295</v>
      </c>
      <c r="D32" s="156">
        <f>D30-D31</f>
        <v>18</v>
      </c>
      <c r="E32" s="156">
        <f>E30-E31</f>
        <v>15</v>
      </c>
      <c r="F32" s="157">
        <f>SUM(C32:E32)</f>
        <v>328</v>
      </c>
      <c r="G32" s="132" t="s">
        <v>37</v>
      </c>
      <c r="H32" s="16"/>
      <c r="I32" s="16"/>
      <c r="J32" s="146">
        <f>ROUND(F32-(F30-F31),6)</f>
        <v>0</v>
      </c>
    </row>
    <row r="33" spans="1:10" ht="18" customHeight="1" x14ac:dyDescent="0.25">
      <c r="A33" s="16"/>
      <c r="B33" s="116"/>
      <c r="C33" s="151"/>
      <c r="D33" s="151"/>
      <c r="E33" s="151"/>
      <c r="F33" s="151"/>
      <c r="G33" s="152"/>
      <c r="H33" s="16"/>
      <c r="I33" s="16"/>
      <c r="J33" s="145"/>
    </row>
    <row r="34" spans="1:10" ht="21.95" customHeight="1" x14ac:dyDescent="0.25">
      <c r="A34" s="16"/>
      <c r="B34" s="244" t="s">
        <v>44</v>
      </c>
      <c r="C34" s="153"/>
      <c r="D34" s="153"/>
      <c r="E34" s="153"/>
      <c r="F34" s="153"/>
      <c r="G34" s="131"/>
      <c r="H34" s="16"/>
      <c r="I34" s="16"/>
      <c r="J34" s="145"/>
    </row>
    <row r="35" spans="1:10" ht="18" customHeight="1" x14ac:dyDescent="0.25">
      <c r="A35" s="16"/>
      <c r="B35" s="147" t="s">
        <v>45</v>
      </c>
      <c r="C35" s="158"/>
      <c r="D35" s="158"/>
      <c r="E35" s="158"/>
      <c r="F35" s="159">
        <f>IF(F30=0,0,F26/F30)</f>
        <v>4.928050114694222E-2</v>
      </c>
      <c r="G35" s="150" t="s">
        <v>37</v>
      </c>
      <c r="H35" s="16"/>
      <c r="I35" s="16"/>
      <c r="J35" s="145"/>
    </row>
    <row r="36" spans="1:10" ht="18" customHeight="1" x14ac:dyDescent="0.25">
      <c r="A36" s="16"/>
      <c r="B36" s="134" t="s">
        <v>46</v>
      </c>
      <c r="C36" s="138"/>
      <c r="D36" s="138"/>
      <c r="E36" s="138"/>
      <c r="F36" s="142">
        <f>$C$12</f>
        <v>0.05</v>
      </c>
      <c r="G36" s="133" t="s">
        <v>27</v>
      </c>
      <c r="H36" s="16"/>
      <c r="I36" s="16"/>
      <c r="J36" s="145"/>
    </row>
    <row r="37" spans="1:10" ht="18" customHeight="1" x14ac:dyDescent="0.25">
      <c r="A37" s="16"/>
      <c r="B37" s="135" t="s">
        <v>47</v>
      </c>
      <c r="C37" s="143"/>
      <c r="D37" s="143"/>
      <c r="E37" s="143"/>
      <c r="F37" s="144">
        <f>IF(F30=0,0,F27/F30)</f>
        <v>328510.47090481041</v>
      </c>
      <c r="G37" s="132" t="s">
        <v>37</v>
      </c>
      <c r="H37" s="16"/>
      <c r="I37" s="16"/>
      <c r="J37" s="145"/>
    </row>
    <row r="38" spans="1:10" ht="18" customHeight="1" x14ac:dyDescent="0.25">
      <c r="A38" s="16"/>
      <c r="B38" s="116"/>
      <c r="C38" s="151"/>
      <c r="D38" s="151"/>
      <c r="E38" s="151"/>
      <c r="F38" s="151"/>
      <c r="G38" s="152"/>
      <c r="H38" s="16"/>
      <c r="I38" s="16"/>
      <c r="J38" s="145"/>
    </row>
    <row r="39" spans="1:10" ht="21.95" customHeight="1" x14ac:dyDescent="0.25">
      <c r="A39" s="16"/>
      <c r="B39" s="244" t="s">
        <v>48</v>
      </c>
      <c r="C39" s="153"/>
      <c r="D39" s="153"/>
      <c r="E39" s="153"/>
      <c r="F39" s="153"/>
      <c r="G39" s="131"/>
      <c r="H39" s="16"/>
      <c r="I39" s="16"/>
      <c r="J39" s="145"/>
    </row>
    <row r="40" spans="1:10" ht="18" customHeight="1" x14ac:dyDescent="0.25">
      <c r="A40" s="16"/>
      <c r="B40" s="147" t="s">
        <v>49</v>
      </c>
      <c r="C40" s="158"/>
      <c r="D40" s="158"/>
      <c r="E40" s="158"/>
      <c r="F40" s="160">
        <f>F23</f>
        <v>171863491.0165638</v>
      </c>
      <c r="G40" s="150" t="s">
        <v>37</v>
      </c>
      <c r="H40" s="16"/>
      <c r="I40" s="16"/>
      <c r="J40" s="145"/>
    </row>
    <row r="41" spans="1:10" ht="18" customHeight="1" x14ac:dyDescent="0.25">
      <c r="A41" s="16"/>
      <c r="B41" s="135" t="s">
        <v>43</v>
      </c>
      <c r="C41" s="143"/>
      <c r="D41" s="143"/>
      <c r="E41" s="143"/>
      <c r="F41" s="144">
        <f>F32*F37</f>
        <v>107751434.45677781</v>
      </c>
      <c r="G41" s="132" t="s">
        <v>37</v>
      </c>
      <c r="H41" s="16"/>
      <c r="I41" s="16"/>
      <c r="J41" s="145"/>
    </row>
    <row r="42" spans="1:10" ht="20.100000000000001" customHeight="1" thickBot="1" x14ac:dyDescent="0.3">
      <c r="A42" s="16"/>
      <c r="B42" s="247" t="s">
        <v>50</v>
      </c>
      <c r="C42" s="248"/>
      <c r="D42" s="248"/>
      <c r="E42" s="248"/>
      <c r="F42" s="249">
        <f>F40+F41</f>
        <v>279614925.47334158</v>
      </c>
      <c r="G42" s="250" t="s">
        <v>37</v>
      </c>
      <c r="H42" s="236"/>
      <c r="I42" s="16"/>
      <c r="J42" s="146">
        <f>ROUND(F42-(F40+F41),0)</f>
        <v>0</v>
      </c>
    </row>
    <row r="43" spans="1:10" ht="18" customHeight="1" x14ac:dyDescent="0.25">
      <c r="A43" s="16"/>
      <c r="B43" s="16"/>
      <c r="C43" s="84"/>
      <c r="D43" s="84"/>
      <c r="E43" s="84"/>
      <c r="F43" s="84"/>
      <c r="G43" s="18"/>
      <c r="H43" s="16"/>
      <c r="I43" s="16"/>
      <c r="J43" s="145"/>
    </row>
    <row r="44" spans="1:10" ht="21.95" customHeight="1" x14ac:dyDescent="0.25">
      <c r="A44" s="16"/>
      <c r="B44" s="245" t="s">
        <v>51</v>
      </c>
      <c r="C44" s="161"/>
      <c r="D44" s="161"/>
      <c r="E44" s="161"/>
      <c r="F44" s="161"/>
      <c r="G44" s="162"/>
      <c r="H44" s="16"/>
      <c r="I44" s="16"/>
      <c r="J44" s="145"/>
    </row>
    <row r="45" spans="1:10" ht="20.100000000000001" customHeight="1" thickBot="1" x14ac:dyDescent="0.3">
      <c r="A45" s="16"/>
      <c r="B45" s="252" t="s">
        <v>42</v>
      </c>
      <c r="C45" s="253"/>
      <c r="D45" s="253"/>
      <c r="E45" s="253"/>
      <c r="F45" s="254">
        <f>F27-F41</f>
        <v>1233228307.7766583</v>
      </c>
      <c r="G45" s="255" t="s">
        <v>37</v>
      </c>
      <c r="H45" s="236"/>
      <c r="I45" s="16"/>
      <c r="J45" s="146">
        <f>ROUND(F45+F42-F18,0)</f>
        <v>0</v>
      </c>
    </row>
    <row r="46" spans="1:10" ht="18" customHeight="1" x14ac:dyDescent="0.25">
      <c r="A46" s="16"/>
      <c r="B46" s="16"/>
      <c r="C46" s="16"/>
      <c r="D46" s="16"/>
      <c r="E46" s="16"/>
      <c r="F46" s="16"/>
      <c r="G46" s="251"/>
      <c r="H46" s="16"/>
      <c r="I46" s="16"/>
      <c r="J46" s="145"/>
    </row>
    <row r="47" spans="1:10" ht="21.95" customHeight="1" x14ac:dyDescent="0.25">
      <c r="A47" s="16"/>
      <c r="B47" s="246" t="s">
        <v>52</v>
      </c>
      <c r="C47" s="220"/>
      <c r="D47" s="220"/>
      <c r="E47" s="220"/>
      <c r="F47" s="220"/>
    </row>
    <row r="48" spans="1:10" ht="21" customHeight="1" thickBot="1" x14ac:dyDescent="0.3">
      <c r="A48" s="16"/>
      <c r="B48" s="242" t="s">
        <v>53</v>
      </c>
      <c r="C48" s="243" t="s">
        <v>13</v>
      </c>
      <c r="D48" s="243" t="s">
        <v>15</v>
      </c>
      <c r="E48" s="243" t="s">
        <v>17</v>
      </c>
      <c r="F48" s="243" t="s">
        <v>30</v>
      </c>
    </row>
    <row r="49" spans="1:10" ht="18" customHeight="1" x14ac:dyDescent="0.25">
      <c r="A49" s="16"/>
      <c r="B49" s="239">
        <v>2</v>
      </c>
      <c r="C49" s="240">
        <f>SUMIFS(STOK!$M$5:$M$29,STOK!$A$5:$A$29,C$48,STOK!$B$5:$B$29,$B49)</f>
        <v>7.3599999999999898E-3</v>
      </c>
      <c r="D49" s="240">
        <f>SUMIFS(STOK!$M$5:$M$29,STOK!$A$5:$A$29,D$48,STOK!$B$5:$B$29,$B49)</f>
        <v>0</v>
      </c>
      <c r="E49" s="240">
        <f>SUMIFS(STOK!$M$5:$M$29,STOK!$A$5:$A$29,E$48,STOK!$B$5:$B$29,$B49)</f>
        <v>0</v>
      </c>
      <c r="F49" s="241">
        <f t="shared" ref="F49:F60" si="1">SUM(C49:E49)</f>
        <v>7.3599999999999898E-3</v>
      </c>
    </row>
    <row r="50" spans="1:10" ht="18" customHeight="1" x14ac:dyDescent="0.25">
      <c r="A50" s="16"/>
      <c r="B50" s="221">
        <v>2.5</v>
      </c>
      <c r="C50" s="222">
        <f>SUMIFS(STOK!$M$5:$M$29,STOK!$A$5:$A$29,C$48,STOK!$B$5:$B$29,$B50)</f>
        <v>0</v>
      </c>
      <c r="D50" s="222">
        <f>SUMIFS(STOK!$M$5:$M$29,STOK!$A$5:$A$29,D$48,STOK!$B$5:$B$29,$B50)</f>
        <v>7.8225000000000017E-2</v>
      </c>
      <c r="E50" s="222">
        <f>SUMIFS(STOK!$M$5:$M$29,STOK!$A$5:$A$29,E$48,STOK!$B$5:$B$29,$B50)</f>
        <v>3.450499999999998E-2</v>
      </c>
      <c r="F50" s="223">
        <f t="shared" si="1"/>
        <v>0.11273</v>
      </c>
    </row>
    <row r="51" spans="1:10" ht="18" customHeight="1" x14ac:dyDescent="0.25">
      <c r="A51" s="16"/>
      <c r="B51" s="221">
        <v>3</v>
      </c>
      <c r="C51" s="222">
        <f>SUMIFS(STOK!$M$5:$M$29,STOK!$A$5:$A$29,C$48,STOK!$B$5:$B$29,$B51)</f>
        <v>-8.9999999999999976E-3</v>
      </c>
      <c r="D51" s="222">
        <f>SUMIFS(STOK!$M$5:$M$29,STOK!$A$5:$A$29,D$48,STOK!$B$5:$B$29,$B51)</f>
        <v>1.387281</v>
      </c>
      <c r="E51" s="222">
        <f>SUMIFS(STOK!$M$5:$M$29,STOK!$A$5:$A$29,E$48,STOK!$B$5:$B$29,$B51)</f>
        <v>0</v>
      </c>
      <c r="F51" s="223">
        <f t="shared" si="1"/>
        <v>1.3782810000000001</v>
      </c>
    </row>
    <row r="52" spans="1:10" ht="18" customHeight="1" x14ac:dyDescent="0.25">
      <c r="A52" s="16"/>
      <c r="B52" s="221">
        <v>3.5</v>
      </c>
      <c r="C52" s="222">
        <f>SUMIFS(STOK!$M$5:$M$29,STOK!$A$5:$A$29,C$48,STOK!$B$5:$B$29,$B52)</f>
        <v>2.2535099999999986</v>
      </c>
      <c r="D52" s="222">
        <f>SUMIFS(STOK!$M$5:$M$29,STOK!$A$5:$A$29,D$48,STOK!$B$5:$B$29,$B52)</f>
        <v>2.609775</v>
      </c>
      <c r="E52" s="222">
        <f>SUMIFS(STOK!$M$5:$M$29,STOK!$A$5:$A$29,E$48,STOK!$B$5:$B$29,$B52)</f>
        <v>8.7674999999999614E-2</v>
      </c>
      <c r="F52" s="223">
        <f t="shared" si="1"/>
        <v>4.9509599999999985</v>
      </c>
    </row>
    <row r="53" spans="1:10" ht="18" customHeight="1" x14ac:dyDescent="0.25">
      <c r="A53" s="16"/>
      <c r="B53" s="221">
        <v>4</v>
      </c>
      <c r="C53" s="222">
        <f>SUMIFS(STOK!$M$5:$M$29,STOK!$A$5:$A$29,C$48,STOK!$B$5:$B$29,$B53)</f>
        <v>1.44E-2</v>
      </c>
      <c r="D53" s="222">
        <f>SUMIFS(STOK!$M$5:$M$29,STOK!$A$5:$A$29,D$48,STOK!$B$5:$B$29,$B53)</f>
        <v>8.8760000000000006E-2</v>
      </c>
      <c r="E53" s="222">
        <f>SUMIFS(STOK!$M$5:$M$29,STOK!$A$5:$A$29,E$48,STOK!$B$5:$B$29,$B53)</f>
        <v>0</v>
      </c>
      <c r="F53" s="223">
        <f t="shared" si="1"/>
        <v>0.10316</v>
      </c>
    </row>
    <row r="54" spans="1:10" ht="18" customHeight="1" x14ac:dyDescent="0.25">
      <c r="A54" s="16"/>
      <c r="B54" s="221">
        <v>4.5</v>
      </c>
      <c r="C54" s="222">
        <f>SUMIFS(STOK!$M$5:$M$29,STOK!$A$5:$A$29,C$48,STOK!$B$5:$B$29,$B54)</f>
        <v>0.73583999999999872</v>
      </c>
      <c r="D54" s="222">
        <f>SUMIFS(STOK!$M$5:$M$29,STOK!$A$5:$A$29,D$48,STOK!$B$5:$B$29,$B54)</f>
        <v>5.6700000000001194E-3</v>
      </c>
      <c r="E54" s="222">
        <f>SUMIFS(STOK!$M$5:$M$29,STOK!$A$5:$A$29,E$48,STOK!$B$5:$B$29,$B54)</f>
        <v>0</v>
      </c>
      <c r="F54" s="223">
        <f t="shared" si="1"/>
        <v>0.74150999999999878</v>
      </c>
    </row>
    <row r="55" spans="1:10" ht="18" customHeight="1" x14ac:dyDescent="0.25">
      <c r="A55" s="16"/>
      <c r="B55" s="221">
        <v>5</v>
      </c>
      <c r="C55" s="222">
        <f>SUMIFS(STOK!$M$5:$M$29,STOK!$A$5:$A$29,C$48,STOK!$B$5:$B$29,$B55)</f>
        <v>0</v>
      </c>
      <c r="D55" s="222">
        <f>SUMIFS(STOK!$M$5:$M$29,STOK!$A$5:$A$29,D$48,STOK!$B$5:$B$29,$B55)</f>
        <v>7.4655000000000138E-2</v>
      </c>
      <c r="E55" s="222">
        <f>SUMIFS(STOK!$M$5:$M$29,STOK!$A$5:$A$29,E$48,STOK!$B$5:$B$29,$B55)</f>
        <v>0</v>
      </c>
      <c r="F55" s="223">
        <f t="shared" si="1"/>
        <v>7.4655000000000138E-2</v>
      </c>
    </row>
    <row r="56" spans="1:10" ht="18" customHeight="1" x14ac:dyDescent="0.25">
      <c r="A56" s="16"/>
      <c r="B56" s="221">
        <v>5.5</v>
      </c>
      <c r="C56" s="222">
        <f>SUMIFS(STOK!$M$5:$M$29,STOK!$A$5:$A$29,C$48,STOK!$B$5:$B$29,$B56)</f>
        <v>0</v>
      </c>
      <c r="D56" s="222">
        <f>SUMIFS(STOK!$M$5:$M$29,STOK!$A$5:$A$29,D$48,STOK!$B$5:$B$29,$B56)</f>
        <v>0.10505000000000003</v>
      </c>
      <c r="E56" s="222">
        <f>SUMIFS(STOK!$M$5:$M$29,STOK!$A$5:$A$29,E$48,STOK!$B$5:$B$29,$B56)</f>
        <v>0</v>
      </c>
      <c r="F56" s="223">
        <f t="shared" si="1"/>
        <v>0.10505000000000003</v>
      </c>
    </row>
    <row r="57" spans="1:10" ht="18" customHeight="1" x14ac:dyDescent="0.25">
      <c r="A57" s="16"/>
      <c r="B57" s="221">
        <v>6</v>
      </c>
      <c r="C57" s="222">
        <f>SUMIFS(STOK!$M$5:$M$29,STOK!$A$5:$A$29,C$48,STOK!$B$5:$B$29,$B57)</f>
        <v>4.5392400000000004</v>
      </c>
      <c r="D57" s="222">
        <f>SUMIFS(STOK!$M$5:$M$29,STOK!$A$5:$A$29,D$48,STOK!$B$5:$B$29,$B57)</f>
        <v>0</v>
      </c>
      <c r="E57" s="222">
        <f>SUMIFS(STOK!$M$5:$M$29,STOK!$A$5:$A$29,E$48,STOK!$B$5:$B$29,$B57)</f>
        <v>0</v>
      </c>
      <c r="F57" s="223">
        <f t="shared" si="1"/>
        <v>4.5392400000000004</v>
      </c>
    </row>
    <row r="58" spans="1:10" ht="20.100000000000001" customHeight="1" x14ac:dyDescent="0.25">
      <c r="A58" s="16"/>
      <c r="B58" s="221">
        <v>7</v>
      </c>
      <c r="C58" s="222">
        <f>SUMIFS(STOK!$M$5:$M$29,STOK!$A$5:$A$29,C$48,STOK!$B$5:$B$29,$B58)</f>
        <v>6.2173300000000005</v>
      </c>
      <c r="D58" s="222">
        <f>SUMIFS(STOK!$M$5:$M$29,STOK!$A$5:$A$29,D$48,STOK!$B$5:$B$29,$B58)</f>
        <v>0</v>
      </c>
      <c r="E58" s="222">
        <f>SUMIFS(STOK!$M$5:$M$29,STOK!$A$5:$A$29,E$48,STOK!$B$5:$B$29,$B58)</f>
        <v>0</v>
      </c>
      <c r="F58" s="223">
        <f t="shared" si="1"/>
        <v>6.2173300000000005</v>
      </c>
    </row>
    <row r="59" spans="1:10" x14ac:dyDescent="0.25">
      <c r="B59" s="221">
        <v>7.5</v>
      </c>
      <c r="C59" s="222">
        <f>SUMIFS(STOK!$M$5:$M$29,STOK!$A$5:$A$29,C$48,STOK!$B$5:$B$29,$B59)</f>
        <v>0</v>
      </c>
      <c r="D59" s="222">
        <f>SUMIFS(STOK!$M$5:$M$29,STOK!$A$5:$A$29,D$48,STOK!$B$5:$B$29,$B59)</f>
        <v>2.0378249999999998</v>
      </c>
      <c r="E59" s="222">
        <f>SUMIFS(STOK!$M$5:$M$29,STOK!$A$5:$A$29,E$48,STOK!$B$5:$B$29,$B59)</f>
        <v>0</v>
      </c>
      <c r="F59" s="223">
        <f t="shared" si="1"/>
        <v>2.0378249999999998</v>
      </c>
    </row>
    <row r="60" spans="1:10" x14ac:dyDescent="0.25">
      <c r="B60" s="224">
        <v>8</v>
      </c>
      <c r="C60" s="225">
        <f>SUMIFS(STOK!$M$5:$M$29,STOK!$A$5:$A$29,C$48,STOK!$B$5:$B$29,$B60)</f>
        <v>2.3652800000000012</v>
      </c>
      <c r="D60" s="225">
        <f>SUMIFS(STOK!$M$5:$M$29,STOK!$A$5:$A$29,D$48,STOK!$B$5:$B$29,$B60)</f>
        <v>3.5428800000000003</v>
      </c>
      <c r="E60" s="225">
        <f>SUMIFS(STOK!$M$5:$M$29,STOK!$A$5:$A$29,E$48,STOK!$B$5:$B$29,$B60)</f>
        <v>0</v>
      </c>
      <c r="F60" s="226">
        <f t="shared" si="1"/>
        <v>5.9081600000000014</v>
      </c>
    </row>
    <row r="61" spans="1:10" ht="15.75" customHeight="1" thickBot="1" x14ac:dyDescent="0.3">
      <c r="B61" s="256" t="s">
        <v>30</v>
      </c>
      <c r="C61" s="257">
        <f>SUM(C49:C60)</f>
        <v>16.12396</v>
      </c>
      <c r="D61" s="257">
        <f>SUM(D49:D60)</f>
        <v>9.9301209999999998</v>
      </c>
      <c r="E61" s="257">
        <f>SUM(E49:E60)</f>
        <v>0.12217999999999959</v>
      </c>
      <c r="F61" s="258">
        <f>SUM(F49:F60)</f>
        <v>26.176261000000004</v>
      </c>
      <c r="J61" s="227">
        <f>ROUND(F61-STOK!M32,6)</f>
        <v>0</v>
      </c>
    </row>
  </sheetData>
  <mergeCells count="6">
    <mergeCell ref="B5:G5"/>
    <mergeCell ref="B9:G9"/>
    <mergeCell ref="B8:G8"/>
    <mergeCell ref="B4:G4"/>
    <mergeCell ref="B7:G7"/>
    <mergeCell ref="B6:G6"/>
  </mergeCells>
  <conditionalFormatting sqref="J17:J18">
    <cfRule type="cellIs" dxfId="17" priority="1" operator="notEqual">
      <formula>0</formula>
    </cfRule>
    <cfRule type="cellIs" dxfId="16" priority="13" operator="equal">
      <formula>0</formula>
    </cfRule>
  </conditionalFormatting>
  <conditionalFormatting sqref="J22:J23">
    <cfRule type="cellIs" dxfId="15" priority="3" operator="notEqual">
      <formula>0</formula>
    </cfRule>
    <cfRule type="cellIs" dxfId="14" priority="14" operator="equal">
      <formula>0</formula>
    </cfRule>
  </conditionalFormatting>
  <conditionalFormatting sqref="J26:J27">
    <cfRule type="cellIs" dxfId="13" priority="5" operator="notEqual">
      <formula>0</formula>
    </cfRule>
    <cfRule type="cellIs" dxfId="12" priority="15" operator="equal">
      <formula>0</formula>
    </cfRule>
  </conditionalFormatting>
  <conditionalFormatting sqref="J30:J32">
    <cfRule type="cellIs" dxfId="11" priority="7" operator="notEqual">
      <formula>0</formula>
    </cfRule>
    <cfRule type="cellIs" dxfId="10" priority="16" operator="equal">
      <formula>0</formula>
    </cfRule>
  </conditionalFormatting>
  <conditionalFormatting sqref="J42">
    <cfRule type="cellIs" dxfId="9" priority="10" operator="notEqual">
      <formula>0</formula>
    </cfRule>
    <cfRule type="cellIs" dxfId="8" priority="17" operator="equal">
      <formula>0</formula>
    </cfRule>
  </conditionalFormatting>
  <conditionalFormatting sqref="J45">
    <cfRule type="cellIs" dxfId="7" priority="11" operator="notEqual">
      <formula>0</formula>
    </cfRule>
    <cfRule type="cellIs" dxfId="6" priority="18" operator="equal">
      <formula>0</formula>
    </cfRule>
  </conditionalFormatting>
  <conditionalFormatting sqref="J61">
    <cfRule type="cellIs" dxfId="5" priority="12" operator="notEqual">
      <formula>0</formula>
    </cfRule>
    <cfRule type="cellIs" dxfId="4" priority="19" operator="equal">
      <formula>0</formula>
    </cfRule>
  </conditionalFormatting>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6"/>
  <sheetViews>
    <sheetView showGridLines="0" tabSelected="1" zoomScale="85" zoomScaleNormal="85" workbookViewId="0">
      <selection activeCell="O10" sqref="O10"/>
    </sheetView>
  </sheetViews>
  <sheetFormatPr defaultColWidth="8.7109375" defaultRowHeight="15" outlineLevelCol="1" x14ac:dyDescent="0.25"/>
  <cols>
    <col min="1" max="1" width="8.7109375" customWidth="1"/>
    <col min="2" max="2" width="10" customWidth="1"/>
    <col min="3" max="3" width="13" customWidth="1"/>
    <col min="4" max="4" width="11" customWidth="1" outlineLevel="1"/>
    <col min="5" max="5" width="9" customWidth="1"/>
    <col min="6" max="6" width="5.5703125" customWidth="1" outlineLevel="1"/>
    <col min="7" max="7" width="7" customWidth="1" outlineLevel="1"/>
    <col min="8" max="8" width="5.5703125" customWidth="1" outlineLevel="1"/>
    <col min="9" max="9" width="7" customWidth="1" outlineLevel="1"/>
    <col min="10" max="10" width="4.85546875" customWidth="1" outlineLevel="1"/>
    <col min="11" max="11" width="8.42578125" customWidth="1" outlineLevel="1"/>
    <col min="12" max="12" width="7" bestFit="1" customWidth="1"/>
    <col min="13" max="13" width="8" bestFit="1" customWidth="1"/>
    <col min="14" max="14" width="49.7109375" hidden="1" customWidth="1"/>
    <col min="15" max="15" width="13" customWidth="1"/>
    <col min="16" max="16" width="8" customWidth="1"/>
    <col min="17" max="17" width="9" customWidth="1"/>
    <col min="18" max="18" width="8" customWidth="1"/>
    <col min="19" max="19" width="9" customWidth="1"/>
  </cols>
  <sheetData>
    <row r="1" spans="1:19" ht="17.25" customHeight="1" x14ac:dyDescent="0.35">
      <c r="A1" s="6" t="s">
        <v>54</v>
      </c>
      <c r="B1" s="7"/>
      <c r="C1" s="7"/>
      <c r="D1" s="7"/>
      <c r="E1" s="7"/>
      <c r="F1" s="7"/>
      <c r="G1" s="7"/>
      <c r="H1" s="7"/>
      <c r="I1" s="7"/>
      <c r="J1" s="7"/>
      <c r="K1" s="7"/>
      <c r="L1" s="7"/>
      <c r="M1" s="7"/>
      <c r="N1" s="7"/>
    </row>
    <row r="2" spans="1:19" ht="15" customHeight="1" thickBot="1" x14ac:dyDescent="0.35">
      <c r="A2" s="8" t="str">
        <f>"As of "&amp;TEXT(MAX(OUT!$B$14:$B$5084),"dd-mmm-yyyy")</f>
        <v>As of 24-Oct-2026</v>
      </c>
      <c r="B2" s="7"/>
      <c r="C2" s="7"/>
      <c r="D2" s="7"/>
      <c r="E2" s="7"/>
      <c r="F2" s="7"/>
      <c r="G2" s="7"/>
      <c r="H2" s="7"/>
      <c r="I2" s="7"/>
      <c r="J2" s="7"/>
      <c r="K2" s="7"/>
      <c r="L2" s="7"/>
      <c r="M2" s="7"/>
      <c r="N2" s="7"/>
    </row>
    <row r="3" spans="1:19" ht="21" customHeight="1" x14ac:dyDescent="0.25">
      <c r="A3" s="312" t="s">
        <v>55</v>
      </c>
      <c r="B3" s="312" t="s">
        <v>53</v>
      </c>
      <c r="C3" s="312" t="s">
        <v>56</v>
      </c>
      <c r="D3" s="312" t="s">
        <v>57</v>
      </c>
      <c r="E3" s="313"/>
      <c r="F3" s="312" t="s">
        <v>58</v>
      </c>
      <c r="G3" s="313"/>
      <c r="H3" s="312" t="s">
        <v>59</v>
      </c>
      <c r="I3" s="313"/>
      <c r="J3" s="312" t="s">
        <v>60</v>
      </c>
      <c r="K3" s="313"/>
      <c r="L3" s="312" t="s">
        <v>61</v>
      </c>
      <c r="M3" s="313"/>
      <c r="N3" s="315" t="s">
        <v>62</v>
      </c>
      <c r="O3" s="312" t="s">
        <v>63</v>
      </c>
      <c r="P3" s="312" t="s">
        <v>64</v>
      </c>
      <c r="Q3" s="313"/>
      <c r="R3" s="312" t="s">
        <v>65</v>
      </c>
      <c r="S3" s="313"/>
    </row>
    <row r="4" spans="1:19" ht="18.95" customHeight="1" thickBot="1" x14ac:dyDescent="0.3">
      <c r="A4" s="314"/>
      <c r="B4" s="314"/>
      <c r="C4" s="314"/>
      <c r="D4" s="85" t="s">
        <v>66</v>
      </c>
      <c r="E4" s="85" t="s">
        <v>67</v>
      </c>
      <c r="F4" s="85" t="s">
        <v>66</v>
      </c>
      <c r="G4" s="85" t="s">
        <v>67</v>
      </c>
      <c r="H4" s="85" t="s">
        <v>66</v>
      </c>
      <c r="I4" s="85" t="s">
        <v>67</v>
      </c>
      <c r="J4" s="85" t="s">
        <v>66</v>
      </c>
      <c r="K4" s="85" t="s">
        <v>67</v>
      </c>
      <c r="L4" s="85" t="s">
        <v>66</v>
      </c>
      <c r="M4" s="86" t="s">
        <v>67</v>
      </c>
      <c r="N4" s="316"/>
      <c r="O4" s="314"/>
      <c r="P4" s="85" t="s">
        <v>66</v>
      </c>
      <c r="Q4" s="85" t="s">
        <v>67</v>
      </c>
      <c r="R4" s="85" t="s">
        <v>66</v>
      </c>
      <c r="S4" s="85" t="s">
        <v>67</v>
      </c>
    </row>
    <row r="5" spans="1:19" s="80" customFormat="1" ht="18" customHeight="1" x14ac:dyDescent="0.25">
      <c r="A5" s="87" t="s">
        <v>13</v>
      </c>
      <c r="B5" s="88">
        <v>2</v>
      </c>
      <c r="C5" s="296">
        <v>46310</v>
      </c>
      <c r="D5" s="89">
        <f>SUMIFS('OPNAME LOG'!$D$2:$D$1000,'OPNAME LOG'!$A$2:$A$1000,DATE(2026,10,14),'OPNAME LOG'!$B$2:$B$1000,IF($A5="Teak","Jati",IF($A5="Pine","Pinus",$A5)),'OPNAME LOG'!$C$2:$C$1000,$B5)+SUMIFS('OPNAME LOG'!$D$2:$D$1000,'OPNAME LOG'!$A$2:$A$1000,DATE(2026,10,14),'OPNAME LOG'!$B$2:$B$1000,IF($A5="Teak","Jati",IF($A5="Pine","Pinus",$A5)),'OPNAME LOG'!$C$2:$C$1000,$B5&amp;" (Grade A)")</f>
        <v>6</v>
      </c>
      <c r="E5" s="99">
        <f>SUMIFS('OPNAME LOG'!$E$2:$E$1000,'OPNAME LOG'!$A$2:$A$1000,DATE(2026,10,14),'OPNAME LOG'!$B$2:$B$1000,IF($A5="Teak","Jati",IF($A5="Pine","Pinus",$A5)),'OPNAME LOG'!$C$2:$C$1000,$B5)+SUMIFS('OPNAME LOG'!$E$2:$E$1000,'OPNAME LOG'!$A$2:$A$1000,DATE(2026,10,14),'OPNAME LOG'!$B$2:$B$1000,IF($A5="Teak","Jati",IF($A5="Pine","Pinus",$A5)),'OPNAME LOG'!$C$2:$C$1000,$B5&amp;" (Grade A)")</f>
        <v>2.135999999999999E-2</v>
      </c>
      <c r="F5" s="89">
        <f>SUMIFS(INCOMING!$E$2:$E$5000,INCOMING!$C$2:$C$5000,$A5,INCOMING!$D$2:$D$5000,$B5,INCOMING!$B$2:$B$5000,"&gt;="&amp;$C5)</f>
        <v>0</v>
      </c>
      <c r="G5" s="99">
        <f>SUMIFS(INCOMING!$F$2:$F$5000,INCOMING!$C$2:$C$5000,$A5,INCOMING!$D$2:$D$5000,$B5,INCOMING!$B$2:$B$5000,"&gt;="&amp;$C5)</f>
        <v>0</v>
      </c>
      <c r="H5" s="89">
        <f>SUMIFS(OUT!$E$14:$E$5084,OUT!$C$14:$C$5084,$A5,OUT!$D$14:$D$5084,$B5,OUT!$B$14:$B$5084,"&gt;="&amp;$C5,OUT!$L$14:$L$5084,"&lt;&gt;Adjustment")</f>
        <v>2</v>
      </c>
      <c r="I5" s="99">
        <f>SUMIFS(OUT!$F$14:$F$5084,OUT!$C$14:$C$5084,$A5,OUT!$D$14:$D$5084,$B5,OUT!$B$14:$B$5084,"&gt;="&amp;$C5,OUT!$L$14:$L$5084,"&lt;&gt;Adjustment")</f>
        <v>1.4E-2</v>
      </c>
      <c r="J5" s="89">
        <f>SUMIFS(OUT!$E$14:$E$5084,OUT!$C$14:$C$5084,$A5,OUT!$D$14:$D$5084,$B5,OUT!$B$14:$B$5084,"&gt;="&amp;$C5,OUT!$L$14:$L$5084,"Adjustment")</f>
        <v>0</v>
      </c>
      <c r="K5" s="99">
        <f>SUMIFS(OUT!$F$14:$F$5084,OUT!$C$14:$C$5084,$A5,OUT!$D$14:$D$5084,$B5,OUT!$B$14:$B$5084,"&gt;="&amp;$C5,OUT!$L$14:$L$5084,"Adjustment")</f>
        <v>0</v>
      </c>
      <c r="L5" s="103">
        <f t="shared" ref="L5:L14" si="0">D5+F5-H5-J5</f>
        <v>4</v>
      </c>
      <c r="M5" s="104">
        <f t="shared" ref="M5:M14" si="1">E5+G5-I5-K5</f>
        <v>7.3599999999999898E-3</v>
      </c>
      <c r="N5" s="297"/>
      <c r="O5" s="296">
        <f>_xlfn.MAXIFS('OPNAME LOG'!$A$2:$A$1000,'OPNAME LOG'!$B$2:$B$1000,IF($A5="Teak","Jati",IF($A5="Pine","Pinus",$A5)),'OPNAME LOG'!$C$2:$C$1000,$B5)</f>
        <v>46319</v>
      </c>
      <c r="P5" s="103">
        <f>SUMIFS('OPNAME LOG'!$D$2:$D$1000,'OPNAME LOG'!$A$2:$A$1000,$O5,'OPNAME LOG'!$B$2:$B$1000,IF($A5="Teak","Jati",IF($A5="Pine","Pinus",$A5)),'OPNAME LOG'!$C$2:$C$1000,$B5)+SUMIFS('OPNAME LOG'!$D$2:$D$1000,'OPNAME LOG'!$A$2:$A$1000,$O5,'OPNAME LOG'!$B$2:$B$1000,IF($A5="Teak","Jati",IF($A5="Pine","Pinus",$A5)),'OPNAME LOG'!$C$2:$C$1000,$B5&amp;" (Grade A)")</f>
        <v>3.9807999999999999</v>
      </c>
      <c r="Q5" s="104">
        <f>SUMIFS('OPNAME LOG'!$E$2:$E$1000,'OPNAME LOG'!$A$2:$A$1000,$O5,'OPNAME LOG'!$B$2:$B$1000,IF($A5="Teak","Jati",IF($A5="Pine","Pinus",$A5)),'OPNAME LOG'!$C$2:$C$1000,$B5)+SUMIFS('OPNAME LOG'!$E$2:$E$1000,'OPNAME LOG'!$A$2:$A$1000,$O5,'OPNAME LOG'!$B$2:$B$1000,IF($A5="Teak","Jati",IF($A5="Pine","Pinus",$A5)),'OPNAME LOG'!$C$2:$C$1000,$B5&amp;" (Grade A)")</f>
        <v>7.3600000000000002E-3</v>
      </c>
      <c r="R5" s="103">
        <f t="shared" ref="R5:R14" si="2">ROUND(L5-P5,6)</f>
        <v>1.9199999999999998E-2</v>
      </c>
      <c r="S5" s="104">
        <f t="shared" ref="S5:S14" si="3">ROUND(M5-Q5,6)</f>
        <v>0</v>
      </c>
    </row>
    <row r="6" spans="1:19" s="80" customFormat="1" ht="18" customHeight="1" x14ac:dyDescent="0.25">
      <c r="A6" s="90" t="s">
        <v>13</v>
      </c>
      <c r="B6" s="91">
        <v>3</v>
      </c>
      <c r="C6" s="298">
        <v>46310</v>
      </c>
      <c r="D6" s="92">
        <f>SUMIFS('OPNAME LOG'!$D$2:$D$1000,'OPNAME LOG'!$A$2:$A$1000,DATE(2026,10,14),'OPNAME LOG'!$B$2:$B$1000,IF($A6="Teak","Jati",IF($A6="Pine","Pinus",$A6)),'OPNAME LOG'!$C$2:$C$1000,$B6)+SUMIFS('OPNAME LOG'!$D$2:$D$1000,'OPNAME LOG'!$A$2:$A$1000,DATE(2026,10,14),'OPNAME LOG'!$B$2:$B$1000,IF($A6="Teak","Jati",IF($A6="Pine","Pinus",$A6)),'OPNAME LOG'!$C$2:$C$1000,$B6&amp;" (Grade A)")</f>
        <v>1</v>
      </c>
      <c r="E6" s="100">
        <f>SUMIFS('OPNAME LOG'!$E$2:$E$1000,'OPNAME LOG'!$A$2:$A$1000,DATE(2026,10,14),'OPNAME LOG'!$B$2:$B$1000,IF($A6="Teak","Jati",IF($A6="Pine","Pinus",$A6)),'OPNAME LOG'!$C$2:$C$1000,$B6)+SUMIFS('OPNAME LOG'!$E$2:$E$1000,'OPNAME LOG'!$A$2:$A$1000,DATE(2026,10,14),'OPNAME LOG'!$B$2:$B$1000,IF($A6="Teak","Jati",IF($A6="Pine","Pinus",$A6)),'OPNAME LOG'!$C$2:$C$1000,$B6&amp;" (Grade A)")</f>
        <v>1.0200000000000001E-2</v>
      </c>
      <c r="F6" s="92">
        <f>SUMIFS(INCOMING!$E$2:$E$5000,INCOMING!$C$2:$C$5000,$A6,INCOMING!$D$2:$D$5000,$B6,INCOMING!$B$2:$B$5000,"&gt;="&amp;$C6)</f>
        <v>0</v>
      </c>
      <c r="G6" s="100">
        <f>SUMIFS(INCOMING!$F$2:$F$5000,INCOMING!$C$2:$C$5000,$A6,INCOMING!$D$2:$D$5000,$B6,INCOMING!$B$2:$B$5000,"&gt;="&amp;$C6)</f>
        <v>0</v>
      </c>
      <c r="H6" s="92">
        <f>SUMIFS(OUT!$E$14:$E$5084,OUT!$C$14:$C$5084,$A6,OUT!$D$14:$D$5084,$B6,OUT!$B$14:$B$5084,"&gt;="&amp;$C6,OUT!$L$14:$L$5084,"&lt;&gt;Adjustment")</f>
        <v>2</v>
      </c>
      <c r="I6" s="100">
        <f>SUMIFS(OUT!$F$14:$F$5084,OUT!$C$14:$C$5084,$A6,OUT!$D$14:$D$5084,$B6,OUT!$B$14:$B$5084,"&gt;="&amp;$C6,OUT!$L$14:$L$5084,"&lt;&gt;Adjustment")</f>
        <v>1.9199999999999998E-2</v>
      </c>
      <c r="J6" s="92">
        <f>SUMIFS(OUT!$E$14:$E$5084,OUT!$C$14:$C$5084,$A6,OUT!$D$14:$D$5084,$B6,OUT!$B$14:$B$5084,"&gt;="&amp;$C6,OUT!$L$14:$L$5084,"Adjustment")</f>
        <v>0</v>
      </c>
      <c r="K6" s="100">
        <f>SUMIFS(OUT!$F$14:$F$5084,OUT!$C$14:$C$5084,$A6,OUT!$D$14:$D$5084,$B6,OUT!$B$14:$B$5084,"&gt;="&amp;$C6,OUT!$L$14:$L$5084,"Adjustment")</f>
        <v>0</v>
      </c>
      <c r="L6" s="105">
        <f t="shared" si="0"/>
        <v>-1</v>
      </c>
      <c r="M6" s="106">
        <f t="shared" si="1"/>
        <v>-8.9999999999999976E-3</v>
      </c>
      <c r="N6" s="299"/>
      <c r="O6" s="298">
        <f>_xlfn.MAXIFS('OPNAME LOG'!$A$2:$A$1000,'OPNAME LOG'!$B$2:$B$1000,IF($A6="Teak","Jati",IF($A6="Pine","Pinus",$A6)),'OPNAME LOG'!$C$2:$C$1000,$B6)</f>
        <v>46319</v>
      </c>
      <c r="P6" s="105">
        <f>SUMIFS('OPNAME LOG'!$D$2:$D$1000,'OPNAME LOG'!$A$2:$A$1000,$O6,'OPNAME LOG'!$B$2:$B$1000,IF($A6="Teak","Jati",IF($A6="Pine","Pinus",$A6)),'OPNAME LOG'!$C$2:$C$1000,$B6)+SUMIFS('OPNAME LOG'!$D$2:$D$1000,'OPNAME LOG'!$A$2:$A$1000,$O6,'OPNAME LOG'!$B$2:$B$1000,IF($A6="Teak","Jati",IF($A6="Pine","Pinus",$A6)),'OPNAME LOG'!$C$2:$C$1000,$B6&amp;" (Grade A)")</f>
        <v>1</v>
      </c>
      <c r="Q6" s="106">
        <f>SUMIFS('OPNAME LOG'!$E$2:$E$1000,'OPNAME LOG'!$A$2:$A$1000,$O6,'OPNAME LOG'!$B$2:$B$1000,IF($A6="Teak","Jati",IF($A6="Pine","Pinus",$A6)),'OPNAME LOG'!$C$2:$C$1000,$B6)+SUMIFS('OPNAME LOG'!$E$2:$E$1000,'OPNAME LOG'!$A$2:$A$1000,$O6,'OPNAME LOG'!$B$2:$B$1000,IF($A6="Teak","Jati",IF($A6="Pine","Pinus",$A6)),'OPNAME LOG'!$C$2:$C$1000,$B6&amp;" (Grade A)")</f>
        <v>1.0200000000000001E-2</v>
      </c>
      <c r="R6" s="105">
        <f t="shared" si="2"/>
        <v>-2</v>
      </c>
      <c r="S6" s="106">
        <f t="shared" si="3"/>
        <v>-1.9199999999999998E-2</v>
      </c>
    </row>
    <row r="7" spans="1:19" s="80" customFormat="1" ht="18" customHeight="1" x14ac:dyDescent="0.25">
      <c r="A7" s="90" t="s">
        <v>13</v>
      </c>
      <c r="B7" s="91">
        <v>3.5</v>
      </c>
      <c r="C7" s="298">
        <v>46310</v>
      </c>
      <c r="D7" s="92">
        <f>SUMIFS('OPNAME LOG'!$D$2:$D$1000,'OPNAME LOG'!$A$2:$A$1000,DATE(2026,10,14),'OPNAME LOG'!$B$2:$B$1000,IF($A7="Teak","Jati",IF($A7="Pine","Pinus",$A7)),'OPNAME LOG'!$C$2:$C$1000,$B7)+SUMIFS('OPNAME LOG'!$D$2:$D$1000,'OPNAME LOG'!$A$2:$A$1000,DATE(2026,10,14),'OPNAME LOG'!$B$2:$B$1000,IF($A7="Teak","Jati",IF($A7="Pine","Pinus",$A7)),'OPNAME LOG'!$C$2:$C$1000,$B7&amp;" (Grade A)")</f>
        <v>99</v>
      </c>
      <c r="E7" s="100">
        <f>SUMIFS('OPNAME LOG'!$E$2:$E$1000,'OPNAME LOG'!$A$2:$A$1000,DATE(2026,10,14),'OPNAME LOG'!$B$2:$B$1000,IF($A7="Teak","Jati",IF($A7="Pine","Pinus",$A7)),'OPNAME LOG'!$C$2:$C$1000,$B7)+SUMIFS('OPNAME LOG'!$E$2:$E$1000,'OPNAME LOG'!$A$2:$A$1000,DATE(2026,10,14),'OPNAME LOG'!$B$2:$B$1000,IF($A7="Teak","Jati",IF($A7="Pine","Pinus",$A7)),'OPNAME LOG'!$C$2:$C$1000,$B7&amp;" (Grade A)")</f>
        <v>1.039464999999999</v>
      </c>
      <c r="F7" s="92">
        <f>SUMIFS(INCOMING!$E$2:$E$5000,INCOMING!$C$2:$C$5000,$A7,INCOMING!$D$2:$D$5000,$B7,INCOMING!$B$2:$B$5000,"&gt;="&amp;$C7)</f>
        <v>316</v>
      </c>
      <c r="G7" s="100">
        <f>SUMIFS(INCOMING!$F$2:$F$5000,INCOMING!$C$2:$C$5000,$A7,INCOMING!$D$2:$D$5000,$B7,INCOMING!$B$2:$B$5000,"&gt;="&amp;$C7)</f>
        <v>2.9540699999999998</v>
      </c>
      <c r="H7" s="92">
        <f>SUMIFS(OUT!$E$14:$E$5084,OUT!$C$14:$C$5084,$A7,OUT!$D$14:$D$5084,$B7,OUT!$B$14:$B$5084,"&gt;="&amp;$C7,OUT!$L$14:$L$5084,"&lt;&gt;Adjustment")</f>
        <v>173</v>
      </c>
      <c r="I7" s="100">
        <f>SUMIFS(OUT!$F$14:$F$5084,OUT!$C$14:$C$5084,$A7,OUT!$D$14:$D$5084,$B7,OUT!$B$14:$B$5084,"&gt;="&amp;$C7,OUT!$L$14:$L$5084,"&lt;&gt;Adjustment")</f>
        <v>1.7400249999999999</v>
      </c>
      <c r="J7" s="92">
        <f>SUMIFS(OUT!$E$14:$E$5084,OUT!$C$14:$C$5084,$A7,OUT!$D$14:$D$5084,$B7,OUT!$B$14:$B$5084,"&gt;="&amp;$C7,OUT!$L$14:$L$5084,"Adjustment")</f>
        <v>0</v>
      </c>
      <c r="K7" s="100">
        <f>SUMIFS(OUT!$F$14:$F$5084,OUT!$C$14:$C$5084,$A7,OUT!$D$14:$D$5084,$B7,OUT!$B$14:$B$5084,"&gt;="&amp;$C7,OUT!$L$14:$L$5084,"Adjustment")</f>
        <v>0</v>
      </c>
      <c r="L7" s="105">
        <f t="shared" si="0"/>
        <v>242</v>
      </c>
      <c r="M7" s="106">
        <f t="shared" si="1"/>
        <v>2.2535099999999986</v>
      </c>
      <c r="N7" s="299"/>
      <c r="O7" s="298">
        <f>_xlfn.MAXIFS('OPNAME LOG'!$A$2:$A$1000,'OPNAME LOG'!$B$2:$B$1000,IF($A7="Teak","Jati",IF($A7="Pine","Pinus",$A7)),'OPNAME LOG'!$C$2:$C$1000,$B7)</f>
        <v>46319</v>
      </c>
      <c r="P7" s="105">
        <f>SUMIFS('OPNAME LOG'!$D$2:$D$1000,'OPNAME LOG'!$A$2:$A$1000,$O7,'OPNAME LOG'!$B$2:$B$1000,IF($A7="Teak","Jati",IF($A7="Pine","Pinus",$A7)),'OPNAME LOG'!$C$2:$C$1000,$B7)+SUMIFS('OPNAME LOG'!$D$2:$D$1000,'OPNAME LOG'!$A$2:$A$1000,$O7,'OPNAME LOG'!$B$2:$B$1000,IF($A7="Teak","Jati",IF($A7="Pine","Pinus",$A7)),'OPNAME LOG'!$C$2:$C$1000,$B7&amp;" (Grade A)")</f>
        <v>242</v>
      </c>
      <c r="Q7" s="106">
        <f>SUMIFS('OPNAME LOG'!$E$2:$E$1000,'OPNAME LOG'!$A$2:$A$1000,$O7,'OPNAME LOG'!$B$2:$B$1000,IF($A7="Teak","Jati",IF($A7="Pine","Pinus",$A7)),'OPNAME LOG'!$C$2:$C$1000,$B7)+SUMIFS('OPNAME LOG'!$E$2:$E$1000,'OPNAME LOG'!$A$2:$A$1000,$O7,'OPNAME LOG'!$B$2:$B$1000,IF($A7="Teak","Jati",IF($A7="Pine","Pinus",$A7)),'OPNAME LOG'!$C$2:$C$1000,$B7&amp;" (Grade A)")</f>
        <v>2.13171</v>
      </c>
      <c r="R7" s="105">
        <f t="shared" si="2"/>
        <v>0</v>
      </c>
      <c r="S7" s="106">
        <f t="shared" si="3"/>
        <v>0.12180000000000001</v>
      </c>
    </row>
    <row r="8" spans="1:19" s="80" customFormat="1" ht="18" customHeight="1" x14ac:dyDescent="0.25">
      <c r="A8" s="90" t="s">
        <v>13</v>
      </c>
      <c r="B8" s="91">
        <v>4</v>
      </c>
      <c r="C8" s="298">
        <v>46310</v>
      </c>
      <c r="D8" s="92">
        <f>SUMIFS('OPNAME LOG'!$D$2:$D$1000,'OPNAME LOG'!$A$2:$A$1000,DATE(2026,10,14),'OPNAME LOG'!$B$2:$B$1000,IF($A8="Teak","Jati",IF($A8="Pine","Pinus",$A8)),'OPNAME LOG'!$C$2:$C$1000,$B8)+SUMIFS('OPNAME LOG'!$D$2:$D$1000,'OPNAME LOG'!$A$2:$A$1000,DATE(2026,10,14),'OPNAME LOG'!$B$2:$B$1000,IF($A8="Teak","Jati",IF($A8="Pine","Pinus",$A8)),'OPNAME LOG'!$C$2:$C$1000,$B8&amp;" (Grade A)")</f>
        <v>1</v>
      </c>
      <c r="E8" s="100">
        <f>SUMIFS('OPNAME LOG'!$E$2:$E$1000,'OPNAME LOG'!$A$2:$A$1000,DATE(2026,10,14),'OPNAME LOG'!$B$2:$B$1000,IF($A8="Teak","Jati",IF($A8="Pine","Pinus",$A8)),'OPNAME LOG'!$C$2:$C$1000,$B8)+SUMIFS('OPNAME LOG'!$E$2:$E$1000,'OPNAME LOG'!$A$2:$A$1000,DATE(2026,10,14),'OPNAME LOG'!$B$2:$B$1000,IF($A8="Teak","Jati",IF($A8="Pine","Pinus",$A8)),'OPNAME LOG'!$C$2:$C$1000,$B8&amp;" (Grade A)")</f>
        <v>1.44E-2</v>
      </c>
      <c r="F8" s="92">
        <f>SUMIFS(INCOMING!$E$2:$E$5000,INCOMING!$C$2:$C$5000,$A8,INCOMING!$D$2:$D$5000,$B8,INCOMING!$B$2:$B$5000,"&gt;="&amp;$C8)</f>
        <v>0</v>
      </c>
      <c r="G8" s="100">
        <f>SUMIFS(INCOMING!$F$2:$F$5000,INCOMING!$C$2:$C$5000,$A8,INCOMING!$D$2:$D$5000,$B8,INCOMING!$B$2:$B$5000,"&gt;="&amp;$C8)</f>
        <v>0</v>
      </c>
      <c r="H8" s="92">
        <f>SUMIFS(OUT!$E$14:$E$5084,OUT!$C$14:$C$5084,$A8,OUT!$D$14:$D$5084,$B8,OUT!$B$14:$B$5084,"&gt;="&amp;$C8,OUT!$L$14:$L$5084,"&lt;&gt;Adjustment")</f>
        <v>0</v>
      </c>
      <c r="I8" s="100">
        <f>SUMIFS(OUT!$F$14:$F$5084,OUT!$C$14:$C$5084,$A8,OUT!$D$14:$D$5084,$B8,OUT!$B$14:$B$5084,"&gt;="&amp;$C8,OUT!$L$14:$L$5084,"&lt;&gt;Adjustment")</f>
        <v>0</v>
      </c>
      <c r="J8" s="92">
        <f>SUMIFS(OUT!$E$14:$E$5084,OUT!$C$14:$C$5084,$A8,OUT!$D$14:$D$5084,$B8,OUT!$B$14:$B$5084,"&gt;="&amp;$C8,OUT!$L$14:$L$5084,"Adjustment")</f>
        <v>0</v>
      </c>
      <c r="K8" s="100">
        <f>SUMIFS(OUT!$F$14:$F$5084,OUT!$C$14:$C$5084,$A8,OUT!$D$14:$D$5084,$B8,OUT!$B$14:$B$5084,"&gt;="&amp;$C8,OUT!$L$14:$L$5084,"Adjustment")</f>
        <v>0</v>
      </c>
      <c r="L8" s="105">
        <f t="shared" si="0"/>
        <v>1</v>
      </c>
      <c r="M8" s="106">
        <f t="shared" si="1"/>
        <v>1.44E-2</v>
      </c>
      <c r="N8" s="299"/>
      <c r="O8" s="298">
        <f>_xlfn.MAXIFS('OPNAME LOG'!$A$2:$A$1000,'OPNAME LOG'!$B$2:$B$1000,IF($A8="Teak","Jati",IF($A8="Pine","Pinus",$A8)),'OPNAME LOG'!$C$2:$C$1000,$B8)</f>
        <v>46319</v>
      </c>
      <c r="P8" s="105">
        <f>SUMIFS('OPNAME LOG'!$D$2:$D$1000,'OPNAME LOG'!$A$2:$A$1000,$O8,'OPNAME LOG'!$B$2:$B$1000,IF($A8="Teak","Jati",IF($A8="Pine","Pinus",$A8)),'OPNAME LOG'!$C$2:$C$1000,$B8)+SUMIFS('OPNAME LOG'!$D$2:$D$1000,'OPNAME LOG'!$A$2:$A$1000,$O8,'OPNAME LOG'!$B$2:$B$1000,IF($A8="Teak","Jati",IF($A8="Pine","Pinus",$A8)),'OPNAME LOG'!$C$2:$C$1000,$B8&amp;" (Grade A)")</f>
        <v>1</v>
      </c>
      <c r="Q8" s="106">
        <f>SUMIFS('OPNAME LOG'!$E$2:$E$1000,'OPNAME LOG'!$A$2:$A$1000,$O8,'OPNAME LOG'!$B$2:$B$1000,IF($A8="Teak","Jati",IF($A8="Pine","Pinus",$A8)),'OPNAME LOG'!$C$2:$C$1000,$B8)+SUMIFS('OPNAME LOG'!$E$2:$E$1000,'OPNAME LOG'!$A$2:$A$1000,$O8,'OPNAME LOG'!$B$2:$B$1000,IF($A8="Teak","Jati",IF($A8="Pine","Pinus",$A8)),'OPNAME LOG'!$C$2:$C$1000,$B8&amp;" (Grade A)")</f>
        <v>1.44E-2</v>
      </c>
      <c r="R8" s="105">
        <f t="shared" si="2"/>
        <v>0</v>
      </c>
      <c r="S8" s="106">
        <f t="shared" si="3"/>
        <v>0</v>
      </c>
    </row>
    <row r="9" spans="1:19" s="80" customFormat="1" ht="18" customHeight="1" x14ac:dyDescent="0.25">
      <c r="A9" s="90" t="s">
        <v>13</v>
      </c>
      <c r="B9" s="91">
        <v>4.5</v>
      </c>
      <c r="C9" s="298">
        <v>46310</v>
      </c>
      <c r="D9" s="92">
        <f>SUMIFS('OPNAME LOG'!$D$2:$D$1000,'OPNAME LOG'!$A$2:$A$1000,DATE(2026,10,14),'OPNAME LOG'!$B$2:$B$1000,IF($A9="Teak","Jati",IF($A9="Pine","Pinus",$A9)),'OPNAME LOG'!$C$2:$C$1000,$B9)+SUMIFS('OPNAME LOG'!$D$2:$D$1000,'OPNAME LOG'!$A$2:$A$1000,DATE(2026,10,14),'OPNAME LOG'!$B$2:$B$1000,IF($A9="Teak","Jati",IF($A9="Pine","Pinus",$A9)),'OPNAME LOG'!$C$2:$C$1000,$B9&amp;" (Grade A)")</f>
        <v>167</v>
      </c>
      <c r="E9" s="100">
        <f>SUMIFS('OPNAME LOG'!$E$2:$E$1000,'OPNAME LOG'!$A$2:$A$1000,DATE(2026,10,14),'OPNAME LOG'!$B$2:$B$1000,IF($A9="Teak","Jati",IF($A9="Pine","Pinus",$A9)),'OPNAME LOG'!$C$2:$C$1000,$B9)+SUMIFS('OPNAME LOG'!$E$2:$E$1000,'OPNAME LOG'!$A$2:$A$1000,DATE(2026,10,14),'OPNAME LOG'!$B$2:$B$1000,IF($A9="Teak","Jati",IF($A9="Pine","Pinus",$A9)),'OPNAME LOG'!$C$2:$C$1000,$B9&amp;" (Grade A)")</f>
        <v>2.804219999999999</v>
      </c>
      <c r="F9" s="92">
        <f>SUMIFS(INCOMING!$E$2:$E$5000,INCOMING!$C$2:$C$5000,$A9,INCOMING!$D$2:$D$5000,$B9,INCOMING!$B$2:$B$5000,"&gt;="&amp;$C9)</f>
        <v>123</v>
      </c>
      <c r="G9" s="100">
        <f>SUMIFS(INCOMING!$F$2:$F$5000,INCOMING!$C$2:$C$5000,$A9,INCOMING!$D$2:$D$5000,$B9,INCOMING!$B$2:$B$5000,"&gt;="&amp;$C9)</f>
        <v>1.9974149999999999</v>
      </c>
      <c r="H9" s="92">
        <f>SUMIFS(OUT!$E$14:$E$5084,OUT!$C$14:$C$5084,$A9,OUT!$D$14:$D$5084,$B9,OUT!$B$14:$B$5084,"&gt;="&amp;$C9,OUT!$L$14:$L$5084,"&lt;&gt;Adjustment")</f>
        <v>245</v>
      </c>
      <c r="I9" s="100">
        <f>SUMIFS(OUT!$F$14:$F$5084,OUT!$C$14:$C$5084,$A9,OUT!$D$14:$D$5084,$B9,OUT!$B$14:$B$5084,"&gt;="&amp;$C9,OUT!$L$14:$L$5084,"&lt;&gt;Adjustment")</f>
        <v>4.0657950000000005</v>
      </c>
      <c r="J9" s="92">
        <f>SUMIFS(OUT!$E$14:$E$5084,OUT!$C$14:$C$5084,$A9,OUT!$D$14:$D$5084,$B9,OUT!$B$14:$B$5084,"&gt;="&amp;$C9,OUT!$L$14:$L$5084,"Adjustment")</f>
        <v>0</v>
      </c>
      <c r="K9" s="100">
        <f>SUMIFS(OUT!$F$14:$F$5084,OUT!$C$14:$C$5084,$A9,OUT!$D$14:$D$5084,$B9,OUT!$B$14:$B$5084,"&gt;="&amp;$C9,OUT!$L$14:$L$5084,"Adjustment")</f>
        <v>0</v>
      </c>
      <c r="L9" s="105">
        <f t="shared" si="0"/>
        <v>45</v>
      </c>
      <c r="M9" s="106">
        <f t="shared" si="1"/>
        <v>0.73583999999999872</v>
      </c>
      <c r="N9" s="299"/>
      <c r="O9" s="298">
        <f>_xlfn.MAXIFS('OPNAME LOG'!$A$2:$A$1000,'OPNAME LOG'!$B$2:$B$1000,IF($A9="Teak","Jati",IF($A9="Pine","Pinus",$A9)),'OPNAME LOG'!$C$2:$C$1000,$B9)</f>
        <v>46319</v>
      </c>
      <c r="P9" s="105">
        <f>SUMIFS('OPNAME LOG'!$D$2:$D$1000,'OPNAME LOG'!$A$2:$A$1000,$O9,'OPNAME LOG'!$B$2:$B$1000,IF($A9="Teak","Jati",IF($A9="Pine","Pinus",$A9)),'OPNAME LOG'!$C$2:$C$1000,$B9)+SUMIFS('OPNAME LOG'!$D$2:$D$1000,'OPNAME LOG'!$A$2:$A$1000,$O9,'OPNAME LOG'!$B$2:$B$1000,IF($A9="Teak","Jati",IF($A9="Pine","Pinus",$A9)),'OPNAME LOG'!$C$2:$C$1000,$B9&amp;" (Grade A)")</f>
        <v>57</v>
      </c>
      <c r="Q9" s="106">
        <f>SUMIFS('OPNAME LOG'!$E$2:$E$1000,'OPNAME LOG'!$A$2:$A$1000,$O9,'OPNAME LOG'!$B$2:$B$1000,IF($A9="Teak","Jati",IF($A9="Pine","Pinus",$A9)),'OPNAME LOG'!$C$2:$C$1000,$B9)+SUMIFS('OPNAME LOG'!$E$2:$E$1000,'OPNAME LOG'!$A$2:$A$1000,$O9,'OPNAME LOG'!$B$2:$B$1000,IF($A9="Teak","Jati",IF($A9="Pine","Pinus",$A9)),'OPNAME LOG'!$C$2:$C$1000,$B9&amp;" (Grade A)")</f>
        <v>0.84694499999999995</v>
      </c>
      <c r="R9" s="105">
        <f t="shared" si="2"/>
        <v>-12</v>
      </c>
      <c r="S9" s="106">
        <f t="shared" si="3"/>
        <v>-0.111105</v>
      </c>
    </row>
    <row r="10" spans="1:19" s="80" customFormat="1" ht="18" customHeight="1" x14ac:dyDescent="0.25">
      <c r="A10" s="90" t="s">
        <v>13</v>
      </c>
      <c r="B10" s="91">
        <v>5</v>
      </c>
      <c r="C10" s="298">
        <v>46310</v>
      </c>
      <c r="D10" s="92">
        <f>SUMIFS('OPNAME LOG'!$D$2:$D$1000,'OPNAME LOG'!$A$2:$A$1000,DATE(2026,10,14),'OPNAME LOG'!$B$2:$B$1000,IF($A10="Teak","Jati",IF($A10="Pine","Pinus",$A10)),'OPNAME LOG'!$C$2:$C$1000,$B10)+SUMIFS('OPNAME LOG'!$D$2:$D$1000,'OPNAME LOG'!$A$2:$A$1000,DATE(2026,10,14),'OPNAME LOG'!$B$2:$B$1000,IF($A10="Teak","Jati",IF($A10="Pine","Pinus",$A10)),'OPNAME LOG'!$C$2:$C$1000,$B10&amp;" (Grade A)")</f>
        <v>1</v>
      </c>
      <c r="E10" s="100">
        <f>SUMIFS('OPNAME LOG'!$E$2:$E$1000,'OPNAME LOG'!$A$2:$A$1000,DATE(2026,10,14),'OPNAME LOG'!$B$2:$B$1000,IF($A10="Teak","Jati",IF($A10="Pine","Pinus",$A10)),'OPNAME LOG'!$C$2:$C$1000,$B10)+SUMIFS('OPNAME LOG'!$E$2:$E$1000,'OPNAME LOG'!$A$2:$A$1000,DATE(2026,10,14),'OPNAME LOG'!$B$2:$B$1000,IF($A10="Teak","Jati",IF($A10="Pine","Pinus",$A10)),'OPNAME LOG'!$C$2:$C$1000,$B10&amp;" (Grade A)")</f>
        <v>0</v>
      </c>
      <c r="F10" s="92">
        <f>SUMIFS(INCOMING!$E$2:$E$5000,INCOMING!$C$2:$C$5000,$A10,INCOMING!$D$2:$D$5000,$B10,INCOMING!$B$2:$B$5000,"&gt;="&amp;$C10)</f>
        <v>0</v>
      </c>
      <c r="G10" s="100">
        <f>SUMIFS(INCOMING!$F$2:$F$5000,INCOMING!$C$2:$C$5000,$A10,INCOMING!$D$2:$D$5000,$B10,INCOMING!$B$2:$B$5000,"&gt;="&amp;$C10)</f>
        <v>0</v>
      </c>
      <c r="H10" s="92">
        <f>SUMIFS(OUT!$E$14:$E$5084,OUT!$C$14:$C$5084,$A10,OUT!$D$14:$D$5084,$B10,OUT!$B$14:$B$5084,"&gt;="&amp;$C10,OUT!$L$14:$L$5084,"&lt;&gt;Adjustment")</f>
        <v>0</v>
      </c>
      <c r="I10" s="100">
        <f>SUMIFS(OUT!$F$14:$F$5084,OUT!$C$14:$C$5084,$A10,OUT!$D$14:$D$5084,$B10,OUT!$B$14:$B$5084,"&gt;="&amp;$C10,OUT!$L$14:$L$5084,"&lt;&gt;Adjustment")</f>
        <v>0</v>
      </c>
      <c r="J10" s="92">
        <f>SUMIFS(OUT!$E$14:$E$5084,OUT!$C$14:$C$5084,$A10,OUT!$D$14:$D$5084,$B10,OUT!$B$14:$B$5084,"&gt;="&amp;$C10,OUT!$L$14:$L$5084,"Adjustment")</f>
        <v>0</v>
      </c>
      <c r="K10" s="100">
        <f>SUMIFS(OUT!$F$14:$F$5084,OUT!$C$14:$C$5084,$A10,OUT!$D$14:$D$5084,$B10,OUT!$B$14:$B$5084,"&gt;="&amp;$C10,OUT!$L$14:$L$5084,"Adjustment")</f>
        <v>0</v>
      </c>
      <c r="L10" s="105">
        <f t="shared" si="0"/>
        <v>1</v>
      </c>
      <c r="M10" s="107">
        <f t="shared" si="1"/>
        <v>0</v>
      </c>
      <c r="N10" s="299" t="s">
        <v>68</v>
      </c>
      <c r="O10" s="298">
        <f>_xlfn.MAXIFS('OPNAME LOG'!$A$2:$A$1000,'OPNAME LOG'!$B$2:$B$1000,IF($A10="Teak","Jati",IF($A10="Pine","Pinus",$A10)),'OPNAME LOG'!$C$2:$C$1000,$B10)</f>
        <v>46319</v>
      </c>
      <c r="P10" s="105">
        <f>SUMIFS('OPNAME LOG'!$D$2:$D$1000,'OPNAME LOG'!$A$2:$A$1000,$O10,'OPNAME LOG'!$B$2:$B$1000,IF($A10="Teak","Jati",IF($A10="Pine","Pinus",$A10)),'OPNAME LOG'!$C$2:$C$1000,$B10)+SUMIFS('OPNAME LOG'!$D$2:$D$1000,'OPNAME LOG'!$A$2:$A$1000,$O10,'OPNAME LOG'!$B$2:$B$1000,IF($A10="Teak","Jati",IF($A10="Pine","Pinus",$A10)),'OPNAME LOG'!$C$2:$C$1000,$B10&amp;" (Grade A)")</f>
        <v>0</v>
      </c>
      <c r="Q10" s="107">
        <f>SUMIFS('OPNAME LOG'!$E$2:$E$1000,'OPNAME LOG'!$A$2:$A$1000,$O10,'OPNAME LOG'!$B$2:$B$1000,IF($A10="Teak","Jati",IF($A10="Pine","Pinus",$A10)),'OPNAME LOG'!$C$2:$C$1000,$B10)+SUMIFS('OPNAME LOG'!$E$2:$E$1000,'OPNAME LOG'!$A$2:$A$1000,$O10,'OPNAME LOG'!$B$2:$B$1000,IF($A10="Teak","Jati",IF($A10="Pine","Pinus",$A10)),'OPNAME LOG'!$C$2:$C$1000,$B10&amp;" (Grade A)")</f>
        <v>0</v>
      </c>
      <c r="R10" s="105">
        <f t="shared" si="2"/>
        <v>1</v>
      </c>
      <c r="S10" s="107">
        <f t="shared" si="3"/>
        <v>0</v>
      </c>
    </row>
    <row r="11" spans="1:19" s="80" customFormat="1" ht="18" customHeight="1" x14ac:dyDescent="0.25">
      <c r="A11" s="90" t="s">
        <v>13</v>
      </c>
      <c r="B11" s="91">
        <v>5.5</v>
      </c>
      <c r="C11" s="298">
        <v>46310</v>
      </c>
      <c r="D11" s="92">
        <f>SUMIFS('OPNAME LOG'!$D$2:$D$1000,'OPNAME LOG'!$A$2:$A$1000,DATE(2026,10,14),'OPNAME LOG'!$B$2:$B$1000,IF($A11="Teak","Jati",IF($A11="Pine","Pinus",$A11)),'OPNAME LOG'!$C$2:$C$1000,$B11)+SUMIFS('OPNAME LOG'!$D$2:$D$1000,'OPNAME LOG'!$A$2:$A$1000,DATE(2026,10,14),'OPNAME LOG'!$B$2:$B$1000,IF($A11="Teak","Jati",IF($A11="Pine","Pinus",$A11)),'OPNAME LOG'!$C$2:$C$1000,$B11&amp;" (Grade A)")</f>
        <v>0</v>
      </c>
      <c r="E11" s="100">
        <f>SUMIFS('OPNAME LOG'!$E$2:$E$1000,'OPNAME LOG'!$A$2:$A$1000,DATE(2026,10,14),'OPNAME LOG'!$B$2:$B$1000,IF($A11="Teak","Jati",IF($A11="Pine","Pinus",$A11)),'OPNAME LOG'!$C$2:$C$1000,$B11)+SUMIFS('OPNAME LOG'!$E$2:$E$1000,'OPNAME LOG'!$A$2:$A$1000,DATE(2026,10,14),'OPNAME LOG'!$B$2:$B$1000,IF($A11="Teak","Jati",IF($A11="Pine","Pinus",$A11)),'OPNAME LOG'!$C$2:$C$1000,$B11&amp;" (Grade A)")</f>
        <v>0</v>
      </c>
      <c r="F11" s="92">
        <f>SUMIFS(INCOMING!$E$2:$E$5000,INCOMING!$C$2:$C$5000,$A11,INCOMING!$D$2:$D$5000,$B11,INCOMING!$B$2:$B$5000,"&gt;="&amp;$C11)</f>
        <v>0</v>
      </c>
      <c r="G11" s="100">
        <f>SUMIFS(INCOMING!$F$2:$F$5000,INCOMING!$C$2:$C$5000,$A11,INCOMING!$D$2:$D$5000,$B11,INCOMING!$B$2:$B$5000,"&gt;="&amp;$C11)</f>
        <v>0</v>
      </c>
      <c r="H11" s="92">
        <f>SUMIFS(OUT!$E$14:$E$5084,OUT!$C$14:$C$5084,$A11,OUT!$D$14:$D$5084,$B11,OUT!$B$14:$B$5084,"&gt;="&amp;$C11,OUT!$L$14:$L$5084,"&lt;&gt;Adjustment")</f>
        <v>0</v>
      </c>
      <c r="I11" s="100">
        <f>SUMIFS(OUT!$F$14:$F$5084,OUT!$C$14:$C$5084,$A11,OUT!$D$14:$D$5084,$B11,OUT!$B$14:$B$5084,"&gt;="&amp;$C11,OUT!$L$14:$L$5084,"&lt;&gt;Adjustment")</f>
        <v>0</v>
      </c>
      <c r="J11" s="92">
        <f>SUMIFS(OUT!$E$14:$E$5084,OUT!$C$14:$C$5084,$A11,OUT!$D$14:$D$5084,$B11,OUT!$B$14:$B$5084,"&gt;="&amp;$C11,OUT!$L$14:$L$5084,"Adjustment")</f>
        <v>0</v>
      </c>
      <c r="K11" s="100">
        <f>SUMIFS(OUT!$F$14:$F$5084,OUT!$C$14:$C$5084,$A11,OUT!$D$14:$D$5084,$B11,OUT!$B$14:$B$5084,"&gt;="&amp;$C11,OUT!$L$14:$L$5084,"Adjustment")</f>
        <v>0</v>
      </c>
      <c r="L11" s="105">
        <f t="shared" si="0"/>
        <v>0</v>
      </c>
      <c r="M11" s="107">
        <f t="shared" si="1"/>
        <v>0</v>
      </c>
      <c r="N11" s="299"/>
      <c r="O11" s="298">
        <f>_xlfn.MAXIFS('OPNAME LOG'!$A$2:$A$1000,'OPNAME LOG'!$B$2:$B$1000,IF($A11="Teak","Jati",IF($A11="Pine","Pinus",$A11)),'OPNAME LOG'!$C$2:$C$1000,$B11)</f>
        <v>46319</v>
      </c>
      <c r="P11" s="105">
        <f>SUMIFS('OPNAME LOG'!$D$2:$D$1000,'OPNAME LOG'!$A$2:$A$1000,$O11,'OPNAME LOG'!$B$2:$B$1000,IF($A11="Teak","Jati",IF($A11="Pine","Pinus",$A11)),'OPNAME LOG'!$C$2:$C$1000,$B11)+SUMIFS('OPNAME LOG'!$D$2:$D$1000,'OPNAME LOG'!$A$2:$A$1000,$O11,'OPNAME LOG'!$B$2:$B$1000,IF($A11="Teak","Jati",IF($A11="Pine","Pinus",$A11)),'OPNAME LOG'!$C$2:$C$1000,$B11&amp;" (Grade A)")</f>
        <v>0</v>
      </c>
      <c r="Q11" s="107">
        <f>SUMIFS('OPNAME LOG'!$E$2:$E$1000,'OPNAME LOG'!$A$2:$A$1000,$O11,'OPNAME LOG'!$B$2:$B$1000,IF($A11="Teak","Jati",IF($A11="Pine","Pinus",$A11)),'OPNAME LOG'!$C$2:$C$1000,$B11)+SUMIFS('OPNAME LOG'!$E$2:$E$1000,'OPNAME LOG'!$A$2:$A$1000,$O11,'OPNAME LOG'!$B$2:$B$1000,IF($A11="Teak","Jati",IF($A11="Pine","Pinus",$A11)),'OPNAME LOG'!$C$2:$C$1000,$B11&amp;" (Grade A)")</f>
        <v>0</v>
      </c>
      <c r="R11" s="105">
        <f t="shared" si="2"/>
        <v>0</v>
      </c>
      <c r="S11" s="107">
        <f t="shared" si="3"/>
        <v>0</v>
      </c>
    </row>
    <row r="12" spans="1:19" s="80" customFormat="1" ht="18" customHeight="1" x14ac:dyDescent="0.25">
      <c r="A12" s="90" t="s">
        <v>13</v>
      </c>
      <c r="B12" s="91">
        <v>6</v>
      </c>
      <c r="C12" s="298">
        <v>46310</v>
      </c>
      <c r="D12" s="92">
        <f>SUMIFS('OPNAME LOG'!$D$2:$D$1000,'OPNAME LOG'!$A$2:$A$1000,DATE(2026,10,14),'OPNAME LOG'!$B$2:$B$1000,IF($A12="Teak","Jati",IF($A12="Pine","Pinus",$A12)),'OPNAME LOG'!$C$2:$C$1000,$B12)+SUMIFS('OPNAME LOG'!$D$2:$D$1000,'OPNAME LOG'!$A$2:$A$1000,DATE(2026,10,14),'OPNAME LOG'!$B$2:$B$1000,IF($A12="Teak","Jati",IF($A12="Pine","Pinus",$A12)),'OPNAME LOG'!$C$2:$C$1000,$B12&amp;" (Grade A)")</f>
        <v>240.98079999999999</v>
      </c>
      <c r="E12" s="100">
        <f>SUMIFS('OPNAME LOG'!$E$2:$E$1000,'OPNAME LOG'!$A$2:$A$1000,DATE(2026,10,14),'OPNAME LOG'!$B$2:$B$1000,IF($A12="Teak","Jati",IF($A12="Pine","Pinus",$A12)),'OPNAME LOG'!$C$2:$C$1000,$B12)+SUMIFS('OPNAME LOG'!$E$2:$E$1000,'OPNAME LOG'!$A$2:$A$1000,DATE(2026,10,14),'OPNAME LOG'!$B$2:$B$1000,IF($A12="Teak","Jati",IF($A12="Pine","Pinus",$A12)),'OPNAME LOG'!$C$2:$C$1000,$B12&amp;" (Grade A)")</f>
        <v>5.3697600000000003</v>
      </c>
      <c r="F12" s="92">
        <f>SUMIFS(INCOMING!$E$2:$E$5000,INCOMING!$C$2:$C$5000,$A12,INCOMING!$D$2:$D$5000,$B12,INCOMING!$B$2:$B$5000,"&gt;="&amp;$C12)</f>
        <v>0</v>
      </c>
      <c r="G12" s="100">
        <f>SUMIFS(INCOMING!$F$2:$F$5000,INCOMING!$C$2:$C$5000,$A12,INCOMING!$D$2:$D$5000,$B12,INCOMING!$B$2:$B$5000,"&gt;="&amp;$C12)</f>
        <v>0</v>
      </c>
      <c r="H12" s="92">
        <f>SUMIFS(OUT!$E$14:$E$5084,OUT!$C$14:$C$5084,$A12,OUT!$D$14:$D$5084,$B12,OUT!$B$14:$B$5084,"&gt;="&amp;$C12,OUT!$L$14:$L$5084,"&lt;&gt;Adjustment")</f>
        <v>33</v>
      </c>
      <c r="I12" s="100">
        <f>SUMIFS(OUT!$F$14:$F$5084,OUT!$C$14:$C$5084,$A12,OUT!$D$14:$D$5084,$B12,OUT!$B$14:$B$5084,"&gt;="&amp;$C12,OUT!$L$14:$L$5084,"&lt;&gt;Adjustment")</f>
        <v>0.83051999999999992</v>
      </c>
      <c r="J12" s="92">
        <f>SUMIFS(OUT!$E$14:$E$5084,OUT!$C$14:$C$5084,$A12,OUT!$D$14:$D$5084,$B12,OUT!$B$14:$B$5084,"&gt;="&amp;$C12,OUT!$L$14:$L$5084,"Adjustment")</f>
        <v>0</v>
      </c>
      <c r="K12" s="100">
        <f>SUMIFS(OUT!$F$14:$F$5084,OUT!$C$14:$C$5084,$A12,OUT!$D$14:$D$5084,$B12,OUT!$B$14:$B$5084,"&gt;="&amp;$C12,OUT!$L$14:$L$5084,"Adjustment")</f>
        <v>0</v>
      </c>
      <c r="L12" s="105">
        <f t="shared" si="0"/>
        <v>207.98079999999999</v>
      </c>
      <c r="M12" s="106">
        <f t="shared" si="1"/>
        <v>4.5392400000000004</v>
      </c>
      <c r="N12" s="299"/>
      <c r="O12" s="298">
        <f>_xlfn.MAXIFS('OPNAME LOG'!$A$2:$A$1000,'OPNAME LOG'!$B$2:$B$1000,IF($A12="Teak","Jati",IF($A12="Pine","Pinus",$A12)),'OPNAME LOG'!$C$2:$C$1000,$B12)</f>
        <v>46319</v>
      </c>
      <c r="P12" s="105">
        <f>SUMIFS('OPNAME LOG'!$D$2:$D$1000,'OPNAME LOG'!$A$2:$A$1000,$O12,'OPNAME LOG'!$B$2:$B$1000,IF($A12="Teak","Jati",IF($A12="Pine","Pinus",$A12)),'OPNAME LOG'!$C$2:$C$1000,$B12)+SUMIFS('OPNAME LOG'!$D$2:$D$1000,'OPNAME LOG'!$A$2:$A$1000,$O12,'OPNAME LOG'!$B$2:$B$1000,IF($A12="Teak","Jati",IF($A12="Pine","Pinus",$A12)),'OPNAME LOG'!$C$2:$C$1000,$B12&amp;" (Grade A)")</f>
        <v>222.743425</v>
      </c>
      <c r="Q12" s="106">
        <f>SUMIFS('OPNAME LOG'!$E$2:$E$1000,'OPNAME LOG'!$A$2:$A$1000,$O12,'OPNAME LOG'!$B$2:$B$1000,IF($A12="Teak","Jati",IF($A12="Pine","Pinus",$A12)),'OPNAME LOG'!$C$2:$C$1000,$B12)+SUMIFS('OPNAME LOG'!$E$2:$E$1000,'OPNAME LOG'!$A$2:$A$1000,$O12,'OPNAME LOG'!$B$2:$B$1000,IF($A12="Teak","Jati",IF($A12="Pine","Pinus",$A12)),'OPNAME LOG'!$C$2:$C$1000,$B12&amp;" (Grade A)")</f>
        <v>5.0325600000000001</v>
      </c>
      <c r="R12" s="105">
        <f t="shared" si="2"/>
        <v>-14.762625</v>
      </c>
      <c r="S12" s="106">
        <f t="shared" si="3"/>
        <v>-0.49331999999999998</v>
      </c>
    </row>
    <row r="13" spans="1:19" s="80" customFormat="1" ht="18" customHeight="1" x14ac:dyDescent="0.25">
      <c r="A13" s="90" t="s">
        <v>13</v>
      </c>
      <c r="B13" s="91">
        <v>7</v>
      </c>
      <c r="C13" s="298">
        <v>46310</v>
      </c>
      <c r="D13" s="92">
        <f>SUMIFS('OPNAME LOG'!$D$2:$D$1000,'OPNAME LOG'!$A$2:$A$1000,DATE(2026,10,14),'OPNAME LOG'!$B$2:$B$1000,IF($A13="Teak","Jati",IF($A13="Pine","Pinus",$A13)),'OPNAME LOG'!$C$2:$C$1000,$B13)+SUMIFS('OPNAME LOG'!$D$2:$D$1000,'OPNAME LOG'!$A$2:$A$1000,DATE(2026,10,14),'OPNAME LOG'!$B$2:$B$1000,IF($A13="Teak","Jati",IF($A13="Pine","Pinus",$A13)),'OPNAME LOG'!$C$2:$C$1000,$B13&amp;" (Grade A)")</f>
        <v>263</v>
      </c>
      <c r="E13" s="100">
        <f>SUMIFS('OPNAME LOG'!$E$2:$E$1000,'OPNAME LOG'!$A$2:$A$1000,DATE(2026,10,14),'OPNAME LOG'!$B$2:$B$1000,IF($A13="Teak","Jati",IF($A13="Pine","Pinus",$A13)),'OPNAME LOG'!$C$2:$C$1000,$B13)+SUMIFS('OPNAME LOG'!$E$2:$E$1000,'OPNAME LOG'!$A$2:$A$1000,DATE(2026,10,14),'OPNAME LOG'!$B$2:$B$1000,IF($A13="Teak","Jati",IF($A13="Pine","Pinus",$A13)),'OPNAME LOG'!$C$2:$C$1000,$B13&amp;" (Grade A)")</f>
        <v>7.5186300000000008</v>
      </c>
      <c r="F13" s="92">
        <f>SUMIFS(INCOMING!$E$2:$E$5000,INCOMING!$C$2:$C$5000,$A13,INCOMING!$D$2:$D$5000,$B13,INCOMING!$B$2:$B$5000,"&gt;="&amp;$C13)</f>
        <v>0</v>
      </c>
      <c r="G13" s="100">
        <f>SUMIFS(INCOMING!$F$2:$F$5000,INCOMING!$C$2:$C$5000,$A13,INCOMING!$D$2:$D$5000,$B13,INCOMING!$B$2:$B$5000,"&gt;="&amp;$C13)</f>
        <v>0</v>
      </c>
      <c r="H13" s="92">
        <f>SUMIFS(OUT!$E$14:$E$5084,OUT!$C$14:$C$5084,$A13,OUT!$D$14:$D$5084,$B13,OUT!$B$14:$B$5084,"&gt;="&amp;$C13,OUT!$L$14:$L$5084,"&lt;&gt;Adjustment")</f>
        <v>42</v>
      </c>
      <c r="I13" s="100">
        <f>SUMIFS(OUT!$F$14:$F$5084,OUT!$C$14:$C$5084,$A13,OUT!$D$14:$D$5084,$B13,OUT!$B$14:$B$5084,"&gt;="&amp;$C13,OUT!$L$14:$L$5084,"&lt;&gt;Adjustment")</f>
        <v>1.3012999999999999</v>
      </c>
      <c r="J13" s="92">
        <f>SUMIFS(OUT!$E$14:$E$5084,OUT!$C$14:$C$5084,$A13,OUT!$D$14:$D$5084,$B13,OUT!$B$14:$B$5084,"&gt;="&amp;$C13,OUT!$L$14:$L$5084,"Adjustment")</f>
        <v>0</v>
      </c>
      <c r="K13" s="100">
        <f>SUMIFS(OUT!$F$14:$F$5084,OUT!$C$14:$C$5084,$A13,OUT!$D$14:$D$5084,$B13,OUT!$B$14:$B$5084,"&gt;="&amp;$C13,OUT!$L$14:$L$5084,"Adjustment")</f>
        <v>0</v>
      </c>
      <c r="L13" s="105">
        <f t="shared" si="0"/>
        <v>221</v>
      </c>
      <c r="M13" s="106">
        <f t="shared" si="1"/>
        <v>6.2173300000000005</v>
      </c>
      <c r="N13" s="299"/>
      <c r="O13" s="298">
        <f>_xlfn.MAXIFS('OPNAME LOG'!$A$2:$A$1000,'OPNAME LOG'!$B$2:$B$1000,IF($A13="Teak","Jati",IF($A13="Pine","Pinus",$A13)),'OPNAME LOG'!$C$2:$C$1000,$B13)</f>
        <v>46319</v>
      </c>
      <c r="P13" s="105">
        <f>SUMIFS('OPNAME LOG'!$D$2:$D$1000,'OPNAME LOG'!$A$2:$A$1000,$O13,'OPNAME LOG'!$B$2:$B$1000,IF($A13="Teak","Jati",IF($A13="Pine","Pinus",$A13)),'OPNAME LOG'!$C$2:$C$1000,$B13)+SUMIFS('OPNAME LOG'!$D$2:$D$1000,'OPNAME LOG'!$A$2:$A$1000,$O13,'OPNAME LOG'!$B$2:$B$1000,IF($A13="Teak","Jati",IF($A13="Pine","Pinus",$A13)),'OPNAME LOG'!$C$2:$C$1000,$B13&amp;" (Grade A)")</f>
        <v>41</v>
      </c>
      <c r="Q13" s="106">
        <f>SUMIFS('OPNAME LOG'!$E$2:$E$1000,'OPNAME LOG'!$A$2:$A$1000,$O13,'OPNAME LOG'!$B$2:$B$1000,IF($A13="Teak","Jati",IF($A13="Pine","Pinus",$A13)),'OPNAME LOG'!$C$2:$C$1000,$B13)+SUMIFS('OPNAME LOG'!$E$2:$E$1000,'OPNAME LOG'!$A$2:$A$1000,$O13,'OPNAME LOG'!$B$2:$B$1000,IF($A13="Teak","Jati",IF($A13="Pine","Pinus",$A13)),'OPNAME LOG'!$C$2:$C$1000,$B13&amp;" (Grade A)")</f>
        <v>6.9824159999999997</v>
      </c>
      <c r="R13" s="105">
        <f t="shared" si="2"/>
        <v>180</v>
      </c>
      <c r="S13" s="106">
        <f t="shared" si="3"/>
        <v>-0.76508600000000004</v>
      </c>
    </row>
    <row r="14" spans="1:19" s="80" customFormat="1" ht="18" customHeight="1" x14ac:dyDescent="0.25">
      <c r="A14" s="163" t="s">
        <v>13</v>
      </c>
      <c r="B14" s="164">
        <v>8</v>
      </c>
      <c r="C14" s="300">
        <v>46310</v>
      </c>
      <c r="D14" s="165">
        <f>SUMIFS('OPNAME LOG'!$D$2:$D$1000,'OPNAME LOG'!$A$2:$A$1000,DATE(2026,10,14),'OPNAME LOG'!$B$2:$B$1000,IF($A14="Teak","Jati",IF($A14="Pine","Pinus",$A14)),'OPNAME LOG'!$C$2:$C$1000,$B14)+SUMIFS('OPNAME LOG'!$D$2:$D$1000,'OPNAME LOG'!$A$2:$A$1000,DATE(2026,10,14),'OPNAME LOG'!$B$2:$B$1000,IF($A14="Teak","Jati",IF($A14="Pine","Pinus",$A14)),'OPNAME LOG'!$C$2:$C$1000,$B14&amp;" (Grade A)")</f>
        <v>75</v>
      </c>
      <c r="E14" s="166">
        <f>SUMIFS('OPNAME LOG'!$E$2:$E$1000,'OPNAME LOG'!$A$2:$A$1000,DATE(2026,10,14),'OPNAME LOG'!$B$2:$B$1000,IF($A14="Teak","Jati",IF($A14="Pine","Pinus",$A14)),'OPNAME LOG'!$C$2:$C$1000,$B14)+SUMIFS('OPNAME LOG'!$E$2:$E$1000,'OPNAME LOG'!$A$2:$A$1000,DATE(2026,10,14),'OPNAME LOG'!$B$2:$B$1000,IF($A14="Teak","Jati",IF($A14="Pine","Pinus",$A14)),'OPNAME LOG'!$C$2:$C$1000,$B14&amp;" (Grade A)")</f>
        <v>2.3652800000000012</v>
      </c>
      <c r="F14" s="165">
        <f>SUMIFS(INCOMING!$E$2:$E$5000,INCOMING!$C$2:$C$5000,$A14,INCOMING!$D$2:$D$5000,$B14,INCOMING!$B$2:$B$5000,"&gt;="&amp;$C14)</f>
        <v>0</v>
      </c>
      <c r="G14" s="166">
        <f>SUMIFS(INCOMING!$F$2:$F$5000,INCOMING!$C$2:$C$5000,$A14,INCOMING!$D$2:$D$5000,$B14,INCOMING!$B$2:$B$5000,"&gt;="&amp;$C14)</f>
        <v>0</v>
      </c>
      <c r="H14" s="165">
        <f>SUMIFS(OUT!$E$14:$E$5084,OUT!$C$14:$C$5084,$A14,OUT!$D$14:$D$5084,$B14,OUT!$B$14:$B$5084,"&gt;="&amp;$C14,OUT!$L$14:$L$5084,"&lt;&gt;Adjustment")</f>
        <v>0</v>
      </c>
      <c r="I14" s="166">
        <f>SUMIFS(OUT!$F$14:$F$5084,OUT!$C$14:$C$5084,$A14,OUT!$D$14:$D$5084,$B14,OUT!$B$14:$B$5084,"&gt;="&amp;$C14,OUT!$L$14:$L$5084,"&lt;&gt;Adjustment")</f>
        <v>0</v>
      </c>
      <c r="J14" s="165">
        <f>SUMIFS(OUT!$E$14:$E$5084,OUT!$C$14:$C$5084,$A14,OUT!$D$14:$D$5084,$B14,OUT!$B$14:$B$5084,"&gt;="&amp;$C14,OUT!$L$14:$L$5084,"Adjustment")</f>
        <v>0</v>
      </c>
      <c r="K14" s="166">
        <f>SUMIFS(OUT!$F$14:$F$5084,OUT!$C$14:$C$5084,$A14,OUT!$D$14:$D$5084,$B14,OUT!$B$14:$B$5084,"&gt;="&amp;$C14,OUT!$L$14:$L$5084,"Adjustment")</f>
        <v>0</v>
      </c>
      <c r="L14" s="167">
        <f t="shared" si="0"/>
        <v>75</v>
      </c>
      <c r="M14" s="168">
        <f t="shared" si="1"/>
        <v>2.3652800000000012</v>
      </c>
      <c r="N14" s="301"/>
      <c r="O14" s="300">
        <f>_xlfn.MAXIFS('OPNAME LOG'!$A$2:$A$1000,'OPNAME LOG'!$B$2:$B$1000,IF($A14="Teak","Jati",IF($A14="Pine","Pinus",$A14)),'OPNAME LOG'!$C$2:$C$1000,$B14)</f>
        <v>46319</v>
      </c>
      <c r="P14" s="167">
        <f>SUMIFS('OPNAME LOG'!$D$2:$D$1000,'OPNAME LOG'!$A$2:$A$1000,$O14,'OPNAME LOG'!$B$2:$B$1000,IF($A14="Teak","Jati",IF($A14="Pine","Pinus",$A14)),'OPNAME LOG'!$C$2:$C$1000,$B14)+SUMIFS('OPNAME LOG'!$D$2:$D$1000,'OPNAME LOG'!$A$2:$A$1000,$O14,'OPNAME LOG'!$B$2:$B$1000,IF($A14="Teak","Jati",IF($A14="Pine","Pinus",$A14)),'OPNAME LOG'!$C$2:$C$1000,$B14&amp;" (Grade A)")</f>
        <v>74</v>
      </c>
      <c r="Q14" s="168">
        <f>SUMIFS('OPNAME LOG'!$E$2:$E$1000,'OPNAME LOG'!$A$2:$A$1000,$O14,'OPNAME LOG'!$B$2:$B$1000,IF($A14="Teak","Jati",IF($A14="Pine","Pinus",$A14)),'OPNAME LOG'!$C$2:$C$1000,$B14)+SUMIFS('OPNAME LOG'!$E$2:$E$1000,'OPNAME LOG'!$A$2:$A$1000,$O14,'OPNAME LOG'!$B$2:$B$1000,IF($A14="Teak","Jati",IF($A14="Pine","Pinus",$A14)),'OPNAME LOG'!$C$2:$C$1000,$B14&amp;" (Grade A)")</f>
        <v>2.3000799999999999</v>
      </c>
      <c r="R14" s="167">
        <f t="shared" si="2"/>
        <v>1</v>
      </c>
      <c r="S14" s="168">
        <f t="shared" si="3"/>
        <v>6.5199999999999994E-2</v>
      </c>
    </row>
    <row r="15" spans="1:19" s="80" customFormat="1" ht="20.100000000000001" customHeight="1" x14ac:dyDescent="0.25">
      <c r="A15" s="117" t="s">
        <v>14</v>
      </c>
      <c r="B15" s="118"/>
      <c r="C15" s="119"/>
      <c r="D15" s="120">
        <f t="shared" ref="D15:M15" si="4">SUM(D5:D14)</f>
        <v>853.98080000000004</v>
      </c>
      <c r="E15" s="121">
        <f t="shared" si="4"/>
        <v>19.143315000000001</v>
      </c>
      <c r="F15" s="120">
        <f t="shared" si="4"/>
        <v>439</v>
      </c>
      <c r="G15" s="121">
        <f t="shared" si="4"/>
        <v>4.9514849999999999</v>
      </c>
      <c r="H15" s="120">
        <f t="shared" si="4"/>
        <v>497</v>
      </c>
      <c r="I15" s="121">
        <f t="shared" si="4"/>
        <v>7.9708400000000008</v>
      </c>
      <c r="J15" s="120">
        <f t="shared" si="4"/>
        <v>0</v>
      </c>
      <c r="K15" s="121">
        <f t="shared" si="4"/>
        <v>0</v>
      </c>
      <c r="L15" s="120">
        <f t="shared" si="4"/>
        <v>795.98080000000004</v>
      </c>
      <c r="M15" s="121">
        <f t="shared" si="4"/>
        <v>16.12396</v>
      </c>
      <c r="N15" s="128"/>
      <c r="O15" s="128"/>
      <c r="P15" s="120">
        <f>SUM(P5:P14)</f>
        <v>642.72422499999993</v>
      </c>
      <c r="Q15" s="121">
        <f>SUM(Q5:Q14)</f>
        <v>17.325671</v>
      </c>
      <c r="R15" s="120">
        <f>SUM(R5:R14)</f>
        <v>153.256575</v>
      </c>
      <c r="S15" s="121">
        <f>SUM(S5:S14)</f>
        <v>-1.201711</v>
      </c>
    </row>
    <row r="16" spans="1:19" ht="9" customHeight="1" x14ac:dyDescent="0.25">
      <c r="A16" s="83"/>
      <c r="B16" s="82"/>
      <c r="C16" s="97"/>
      <c r="D16" s="84"/>
      <c r="E16" s="101"/>
      <c r="F16" s="84"/>
      <c r="G16" s="101"/>
      <c r="H16" s="84"/>
      <c r="I16" s="101"/>
      <c r="J16" s="84"/>
      <c r="K16" s="101"/>
      <c r="L16" s="84"/>
      <c r="M16" s="101"/>
      <c r="N16" s="129"/>
    </row>
    <row r="17" spans="1:19" s="80" customFormat="1" ht="18" customHeight="1" x14ac:dyDescent="0.25">
      <c r="A17" s="94" t="s">
        <v>15</v>
      </c>
      <c r="B17" s="95">
        <v>2.5</v>
      </c>
      <c r="C17" s="302">
        <v>46310</v>
      </c>
      <c r="D17" s="96">
        <f>SUMIFS('OPNAME LOG'!$D$2:$D$1000,'OPNAME LOG'!$A$2:$A$1000,DATE(2026,10,14),'OPNAME LOG'!$B$2:$B$1000,IF($A17="Teak","Jati",IF($A17="Pine","Pinus",$A17)),'OPNAME LOG'!$C$2:$C$1000,$B17)+SUMIFS('OPNAME LOG'!$D$2:$D$1000,'OPNAME LOG'!$A$2:$A$1000,DATE(2026,10,14),'OPNAME LOG'!$B$2:$B$1000,IF($A17="Teak","Jati",IF($A17="Pine","Pinus",$A17)),'OPNAME LOG'!$C$2:$C$1000,$B17&amp;" (Grade A)")</f>
        <v>18</v>
      </c>
      <c r="E17" s="102">
        <f>SUMIFS('OPNAME LOG'!$E$2:$E$1000,'OPNAME LOG'!$A$2:$A$1000,DATE(2026,10,14),'OPNAME LOG'!$B$2:$B$1000,IF($A17="Teak","Jati",IF($A17="Pine","Pinus",$A17)),'OPNAME LOG'!$C$2:$C$1000,$B17)+SUMIFS('OPNAME LOG'!$E$2:$E$1000,'OPNAME LOG'!$A$2:$A$1000,DATE(2026,10,14),'OPNAME LOG'!$B$2:$B$1000,IF($A17="Teak","Jati",IF($A17="Pine","Pinus",$A17)),'OPNAME LOG'!$C$2:$C$1000,$B17&amp;" (Grade A)")</f>
        <v>7.8225000000000017E-2</v>
      </c>
      <c r="F17" s="96">
        <f>SUMIFS(INCOMING!$E$2:$E$5000,INCOMING!$C$2:$C$5000,$A17,INCOMING!$D$2:$D$5000,$B17,INCOMING!$B$2:$B$5000,"&gt;="&amp;$C17)</f>
        <v>0</v>
      </c>
      <c r="G17" s="102">
        <f>SUMIFS(INCOMING!$F$2:$F$5000,INCOMING!$C$2:$C$5000,$A17,INCOMING!$D$2:$D$5000,$B17,INCOMING!$B$2:$B$5000,"&gt;="&amp;$C17)</f>
        <v>0</v>
      </c>
      <c r="H17" s="96">
        <f>SUMIFS(OUT!$E$14:$E$5084,OUT!$C$14:$C$5084,$A17,OUT!$D$14:$D$5084,$B17,OUT!$B$14:$B$5084,"&gt;="&amp;$C17,OUT!$L$14:$L$5084,"&lt;&gt;Adjustment")</f>
        <v>0</v>
      </c>
      <c r="I17" s="102">
        <f>SUMIFS(OUT!$F$14:$F$5084,OUT!$C$14:$C$5084,$A17,OUT!$D$14:$D$5084,$B17,OUT!$B$14:$B$5084,"&gt;="&amp;$C17,OUT!$L$14:$L$5084,"&lt;&gt;Adjustment")</f>
        <v>0</v>
      </c>
      <c r="J17" s="96">
        <f>SUMIFS(OUT!$E$14:$E$5084,OUT!$C$14:$C$5084,$A17,OUT!$D$14:$D$5084,$B17,OUT!$B$14:$B$5084,"&gt;="&amp;$C17,OUT!$L$14:$L$5084,"Adjustment")</f>
        <v>0</v>
      </c>
      <c r="K17" s="102">
        <f>SUMIFS(OUT!$F$14:$F$5084,OUT!$C$14:$C$5084,$A17,OUT!$D$14:$D$5084,$B17,OUT!$B$14:$B$5084,"&gt;="&amp;$C17,OUT!$L$14:$L$5084,"Adjustment")</f>
        <v>0</v>
      </c>
      <c r="L17" s="108">
        <f t="shared" ref="L17:L25" si="5">D17+F17-H17-J17</f>
        <v>18</v>
      </c>
      <c r="M17" s="109">
        <f t="shared" ref="M17:M25" si="6">E17+G17-I17-K17</f>
        <v>7.8225000000000017E-2</v>
      </c>
      <c r="N17" s="303"/>
      <c r="O17" s="302">
        <f>_xlfn.MAXIFS('OPNAME LOG'!$A$2:$A$1000,'OPNAME LOG'!$B$2:$B$1000,IF($A17="Teak","Jati",IF($A17="Pine","Pinus",$A17)),'OPNAME LOG'!$C$2:$C$1000,$B17)</f>
        <v>46319</v>
      </c>
      <c r="P17" s="108">
        <f>SUMIFS('OPNAME LOG'!$D$2:$D$1000,'OPNAME LOG'!$A$2:$A$1000,$O17,'OPNAME LOG'!$B$2:$B$1000,IF($A17="Teak","Jati",IF($A17="Pine","Pinus",$A17)),'OPNAME LOG'!$C$2:$C$1000,$B17)+SUMIFS('OPNAME LOG'!$D$2:$D$1000,'OPNAME LOG'!$A$2:$A$1000,$O17,'OPNAME LOG'!$B$2:$B$1000,IF($A17="Teak","Jati",IF($A17="Pine","Pinus",$A17)),'OPNAME LOG'!$C$2:$C$1000,$B17&amp;" (Grade A)")</f>
        <v>18</v>
      </c>
      <c r="Q17" s="109">
        <f>SUMIFS('OPNAME LOG'!$E$2:$E$1000,'OPNAME LOG'!$A$2:$A$1000,$O17,'OPNAME LOG'!$B$2:$B$1000,IF($A17="Teak","Jati",IF($A17="Pine","Pinus",$A17)),'OPNAME LOG'!$C$2:$C$1000,$B17)+SUMIFS('OPNAME LOG'!$E$2:$E$1000,'OPNAME LOG'!$A$2:$A$1000,$O17,'OPNAME LOG'!$B$2:$B$1000,IF($A17="Teak","Jati",IF($A17="Pine","Pinus",$A17)),'OPNAME LOG'!$C$2:$C$1000,$B17&amp;" (Grade A)")</f>
        <v>7.8225000000000003E-2</v>
      </c>
      <c r="R17" s="108">
        <f t="shared" ref="R17:R25" si="7">ROUND(L17-P17,6)</f>
        <v>0</v>
      </c>
      <c r="S17" s="109">
        <f t="shared" ref="S17:S25" si="8">ROUND(M17-Q17,6)</f>
        <v>0</v>
      </c>
    </row>
    <row r="18" spans="1:19" s="80" customFormat="1" ht="18" customHeight="1" x14ac:dyDescent="0.25">
      <c r="A18" s="90" t="s">
        <v>15</v>
      </c>
      <c r="B18" s="91">
        <v>3</v>
      </c>
      <c r="C18" s="298">
        <v>46310</v>
      </c>
      <c r="D18" s="92">
        <f>SUMIFS('OPNAME LOG'!$D$2:$D$1000,'OPNAME LOG'!$A$2:$A$1000,DATE(2026,10,14),'OPNAME LOG'!$B$2:$B$1000,IF($A18="Teak","Jati",IF($A18="Pine","Pinus",$A18)),'OPNAME LOG'!$C$2:$C$1000,$B18)+SUMIFS('OPNAME LOG'!$D$2:$D$1000,'OPNAME LOG'!$A$2:$A$1000,DATE(2026,10,14),'OPNAME LOG'!$B$2:$B$1000,IF($A18="Teak","Jati",IF($A18="Pine","Pinus",$A18)),'OPNAME LOG'!$C$2:$C$1000,$B18&amp;" (Grade A)")</f>
        <v>300</v>
      </c>
      <c r="E18" s="100">
        <f>SUMIFS('OPNAME LOG'!$E$2:$E$1000,'OPNAME LOG'!$A$2:$A$1000,DATE(2026,10,14),'OPNAME LOG'!$B$2:$B$1000,IF($A18="Teak","Jati",IF($A18="Pine","Pinus",$A18)),'OPNAME LOG'!$C$2:$C$1000,$B18)+SUMIFS('OPNAME LOG'!$E$2:$E$1000,'OPNAME LOG'!$A$2:$A$1000,DATE(2026,10,14),'OPNAME LOG'!$B$2:$B$1000,IF($A18="Teak","Jati",IF($A18="Pine","Pinus",$A18)),'OPNAME LOG'!$C$2:$C$1000,$B18&amp;" (Grade A)")</f>
        <v>1.694871</v>
      </c>
      <c r="F18" s="92">
        <f>SUMIFS(INCOMING!$E$2:$E$5000,INCOMING!$C$2:$C$5000,$A18,INCOMING!$D$2:$D$5000,$B18,INCOMING!$B$2:$B$5000,"&gt;="&amp;$C18)</f>
        <v>0</v>
      </c>
      <c r="G18" s="100">
        <f>SUMIFS(INCOMING!$F$2:$F$5000,INCOMING!$C$2:$C$5000,$A18,INCOMING!$D$2:$D$5000,$B18,INCOMING!$B$2:$B$5000,"&gt;="&amp;$C18)</f>
        <v>0</v>
      </c>
      <c r="H18" s="92">
        <f>SUMIFS(OUT!$E$14:$E$5084,OUT!$C$14:$C$5084,$A18,OUT!$D$14:$D$5084,$B18,OUT!$B$14:$B$5084,"&gt;="&amp;$C18,OUT!$L$14:$L$5084,"&lt;&gt;Adjustment")</f>
        <v>45</v>
      </c>
      <c r="I18" s="100">
        <f>SUMIFS(OUT!$F$14:$F$5084,OUT!$C$14:$C$5084,$A18,OUT!$D$14:$D$5084,$B18,OUT!$B$14:$B$5084,"&gt;="&amp;$C18,OUT!$L$14:$L$5084,"&lt;&gt;Adjustment")</f>
        <v>0.30758999999999997</v>
      </c>
      <c r="J18" s="92">
        <f>SUMIFS(OUT!$E$14:$E$5084,OUT!$C$14:$C$5084,$A18,OUT!$D$14:$D$5084,$B18,OUT!$B$14:$B$5084,"&gt;="&amp;$C18,OUT!$L$14:$L$5084,"Adjustment")</f>
        <v>0</v>
      </c>
      <c r="K18" s="100">
        <f>SUMIFS(OUT!$F$14:$F$5084,OUT!$C$14:$C$5084,$A18,OUT!$D$14:$D$5084,$B18,OUT!$B$14:$B$5084,"&gt;="&amp;$C18,OUT!$L$14:$L$5084,"Adjustment")</f>
        <v>0</v>
      </c>
      <c r="L18" s="105">
        <f t="shared" si="5"/>
        <v>255</v>
      </c>
      <c r="M18" s="106">
        <f t="shared" si="6"/>
        <v>1.387281</v>
      </c>
      <c r="N18" s="299"/>
      <c r="O18" s="298">
        <f>_xlfn.MAXIFS('OPNAME LOG'!$A$2:$A$1000,'OPNAME LOG'!$B$2:$B$1000,IF($A18="Teak","Jati",IF($A18="Pine","Pinus",$A18)),'OPNAME LOG'!$C$2:$C$1000,$B18)</f>
        <v>46319</v>
      </c>
      <c r="P18" s="105">
        <f>SUMIFS('OPNAME LOG'!$D$2:$D$1000,'OPNAME LOG'!$A$2:$A$1000,$O18,'OPNAME LOG'!$B$2:$B$1000,IF($A18="Teak","Jati",IF($A18="Pine","Pinus",$A18)),'OPNAME LOG'!$C$2:$C$1000,$B18)+SUMIFS('OPNAME LOG'!$D$2:$D$1000,'OPNAME LOG'!$A$2:$A$1000,$O18,'OPNAME LOG'!$B$2:$B$1000,IF($A18="Teak","Jati",IF($A18="Pine","Pinus",$A18)),'OPNAME LOG'!$C$2:$C$1000,$B18&amp;" (Grade A)")</f>
        <v>254.88354000000001</v>
      </c>
      <c r="Q18" s="106">
        <f>SUMIFS('OPNAME LOG'!$E$2:$E$1000,'OPNAME LOG'!$A$2:$A$1000,$O18,'OPNAME LOG'!$B$2:$B$1000,IF($A18="Teak","Jati",IF($A18="Pine","Pinus",$A18)),'OPNAME LOG'!$C$2:$C$1000,$B18)+SUMIFS('OPNAME LOG'!$E$2:$E$1000,'OPNAME LOG'!$A$2:$A$1000,$O18,'OPNAME LOG'!$B$2:$B$1000,IF($A18="Teak","Jati",IF($A18="Pine","Pinus",$A18)),'OPNAME LOG'!$C$2:$C$1000,$B18&amp;" (Grade A)")</f>
        <v>1.387281</v>
      </c>
      <c r="R18" s="105">
        <f t="shared" si="7"/>
        <v>0.11645999999999999</v>
      </c>
      <c r="S18" s="106">
        <f t="shared" si="8"/>
        <v>0</v>
      </c>
    </row>
    <row r="19" spans="1:19" s="80" customFormat="1" ht="18" customHeight="1" x14ac:dyDescent="0.25">
      <c r="A19" s="90" t="s">
        <v>15</v>
      </c>
      <c r="B19" s="91">
        <v>3.5</v>
      </c>
      <c r="C19" s="298">
        <v>46310</v>
      </c>
      <c r="D19" s="92">
        <f>SUMIFS('OPNAME LOG'!$D$2:$D$1000,'OPNAME LOG'!$A$2:$A$1000,DATE(2026,10,14),'OPNAME LOG'!$B$2:$B$1000,IF($A19="Teak","Jati",IF($A19="Pine","Pinus",$A19)),'OPNAME LOG'!$C$2:$C$1000,$B19)+SUMIFS('OPNAME LOG'!$D$2:$D$1000,'OPNAME LOG'!$A$2:$A$1000,DATE(2026,10,14),'OPNAME LOG'!$B$2:$B$1000,IF($A19="Teak","Jati",IF($A19="Pine","Pinus",$A19)),'OPNAME LOG'!$C$2:$C$1000,$B19&amp;" (Grade A)")</f>
        <v>338</v>
      </c>
      <c r="E19" s="100">
        <f>SUMIFS('OPNAME LOG'!$E$2:$E$1000,'OPNAME LOG'!$A$2:$A$1000,DATE(2026,10,14),'OPNAME LOG'!$B$2:$B$1000,IF($A19="Teak","Jati",IF($A19="Pine","Pinus",$A19)),'OPNAME LOG'!$C$2:$C$1000,$B19)+SUMIFS('OPNAME LOG'!$E$2:$E$1000,'OPNAME LOG'!$A$2:$A$1000,DATE(2026,10,14),'OPNAME LOG'!$B$2:$B$1000,IF($A19="Teak","Jati",IF($A19="Pine","Pinus",$A19)),'OPNAME LOG'!$C$2:$C$1000,$B19&amp;" (Grade A)")</f>
        <v>2.7637749999999999</v>
      </c>
      <c r="F19" s="92">
        <f>SUMIFS(INCOMING!$E$2:$E$5000,INCOMING!$C$2:$C$5000,$A19,INCOMING!$D$2:$D$5000,$B19,INCOMING!$B$2:$B$5000,"&gt;="&amp;$C19)</f>
        <v>0</v>
      </c>
      <c r="G19" s="100">
        <f>SUMIFS(INCOMING!$F$2:$F$5000,INCOMING!$C$2:$C$5000,$A19,INCOMING!$D$2:$D$5000,$B19,INCOMING!$B$2:$B$5000,"&gt;="&amp;$C19)</f>
        <v>0</v>
      </c>
      <c r="H19" s="92">
        <f>SUMIFS(OUT!$E$14:$E$5084,OUT!$C$14:$C$5084,$A19,OUT!$D$14:$D$5084,$B19,OUT!$B$14:$B$5084,"&gt;="&amp;$C19,OUT!$L$14:$L$5084,"&lt;&gt;Adjustment")</f>
        <v>18</v>
      </c>
      <c r="I19" s="100">
        <f>SUMIFS(OUT!$F$14:$F$5084,OUT!$C$14:$C$5084,$A19,OUT!$D$14:$D$5084,$B19,OUT!$B$14:$B$5084,"&gt;="&amp;$C19,OUT!$L$14:$L$5084,"&lt;&gt;Adjustment")</f>
        <v>0.154</v>
      </c>
      <c r="J19" s="92">
        <f>SUMIFS(OUT!$E$14:$E$5084,OUT!$C$14:$C$5084,$A19,OUT!$D$14:$D$5084,$B19,OUT!$B$14:$B$5084,"&gt;="&amp;$C19,OUT!$L$14:$L$5084,"Adjustment")</f>
        <v>0</v>
      </c>
      <c r="K19" s="100">
        <f>SUMIFS(OUT!$F$14:$F$5084,OUT!$C$14:$C$5084,$A19,OUT!$D$14:$D$5084,$B19,OUT!$B$14:$B$5084,"&gt;="&amp;$C19,OUT!$L$14:$L$5084,"Adjustment")</f>
        <v>0</v>
      </c>
      <c r="L19" s="105">
        <f t="shared" si="5"/>
        <v>320</v>
      </c>
      <c r="M19" s="106">
        <f t="shared" si="6"/>
        <v>2.609775</v>
      </c>
      <c r="N19" s="299"/>
      <c r="O19" s="298">
        <f>_xlfn.MAXIFS('OPNAME LOG'!$A$2:$A$1000,'OPNAME LOG'!$B$2:$B$1000,IF($A19="Teak","Jati",IF($A19="Pine","Pinus",$A19)),'OPNAME LOG'!$C$2:$C$1000,$B19)</f>
        <v>46319</v>
      </c>
      <c r="P19" s="105">
        <f>SUMIFS('OPNAME LOG'!$D$2:$D$1000,'OPNAME LOG'!$A$2:$A$1000,$O19,'OPNAME LOG'!$B$2:$B$1000,IF($A19="Teak","Jati",IF($A19="Pine","Pinus",$A19)),'OPNAME LOG'!$C$2:$C$1000,$B19)+SUMIFS('OPNAME LOG'!$D$2:$D$1000,'OPNAME LOG'!$A$2:$A$1000,$O19,'OPNAME LOG'!$B$2:$B$1000,IF($A19="Teak","Jati",IF($A19="Pine","Pinus",$A19)),'OPNAME LOG'!$C$2:$C$1000,$B19&amp;" (Grade A)")</f>
        <v>319.84393999999998</v>
      </c>
      <c r="Q19" s="106">
        <f>SUMIFS('OPNAME LOG'!$E$2:$E$1000,'OPNAME LOG'!$A$2:$A$1000,$O19,'OPNAME LOG'!$B$2:$B$1000,IF($A19="Teak","Jati",IF($A19="Pine","Pinus",$A19)),'OPNAME LOG'!$C$2:$C$1000,$B19)+SUMIFS('OPNAME LOG'!$E$2:$E$1000,'OPNAME LOG'!$A$2:$A$1000,$O19,'OPNAME LOG'!$B$2:$B$1000,IF($A19="Teak","Jati",IF($A19="Pine","Pinus",$A19)),'OPNAME LOG'!$C$2:$C$1000,$B19&amp;" (Grade A)")</f>
        <v>2.609775</v>
      </c>
      <c r="R19" s="105">
        <f t="shared" si="7"/>
        <v>0.15606</v>
      </c>
      <c r="S19" s="106">
        <f t="shared" si="8"/>
        <v>0</v>
      </c>
    </row>
    <row r="20" spans="1:19" s="80" customFormat="1" ht="18" customHeight="1" x14ac:dyDescent="0.25">
      <c r="A20" s="90" t="s">
        <v>15</v>
      </c>
      <c r="B20" s="91">
        <v>4</v>
      </c>
      <c r="C20" s="298">
        <v>46310</v>
      </c>
      <c r="D20" s="92">
        <f>SUMIFS('OPNAME LOG'!$D$2:$D$1000,'OPNAME LOG'!$A$2:$A$1000,DATE(2026,10,14),'OPNAME LOG'!$B$2:$B$1000,IF($A20="Teak","Jati",IF($A20="Pine","Pinus",$A20)),'OPNAME LOG'!$C$2:$C$1000,$B20)+SUMIFS('OPNAME LOG'!$D$2:$D$1000,'OPNAME LOG'!$A$2:$A$1000,DATE(2026,10,14),'OPNAME LOG'!$B$2:$B$1000,IF($A20="Teak","Jati",IF($A20="Pine","Pinus",$A20)),'OPNAME LOG'!$C$2:$C$1000,$B20&amp;" (Grade A)")</f>
        <v>7</v>
      </c>
      <c r="E20" s="100">
        <f>SUMIFS('OPNAME LOG'!$E$2:$E$1000,'OPNAME LOG'!$A$2:$A$1000,DATE(2026,10,14),'OPNAME LOG'!$B$2:$B$1000,IF($A20="Teak","Jati",IF($A20="Pine","Pinus",$A20)),'OPNAME LOG'!$C$2:$C$1000,$B20)+SUMIFS('OPNAME LOG'!$E$2:$E$1000,'OPNAME LOG'!$A$2:$A$1000,DATE(2026,10,14),'OPNAME LOG'!$B$2:$B$1000,IF($A20="Teak","Jati",IF($A20="Pine","Pinus",$A20)),'OPNAME LOG'!$C$2:$C$1000,$B20&amp;" (Grade A)")</f>
        <v>0.13044</v>
      </c>
      <c r="F20" s="92">
        <f>SUMIFS(INCOMING!$E$2:$E$5000,INCOMING!$C$2:$C$5000,$A20,INCOMING!$D$2:$D$5000,$B20,INCOMING!$B$2:$B$5000,"&gt;="&amp;$C20)</f>
        <v>0</v>
      </c>
      <c r="G20" s="100">
        <f>SUMIFS(INCOMING!$F$2:$F$5000,INCOMING!$C$2:$C$5000,$A20,INCOMING!$D$2:$D$5000,$B20,INCOMING!$B$2:$B$5000,"&gt;="&amp;$C20)</f>
        <v>0</v>
      </c>
      <c r="H20" s="92">
        <f>SUMIFS(OUT!$E$14:$E$5084,OUT!$C$14:$C$5084,$A20,OUT!$D$14:$D$5084,$B20,OUT!$B$14:$B$5084,"&gt;="&amp;$C20,OUT!$L$14:$L$5084,"&lt;&gt;Adjustment")</f>
        <v>4</v>
      </c>
      <c r="I20" s="100">
        <f>SUMIFS(OUT!$F$14:$F$5084,OUT!$C$14:$C$5084,$A20,OUT!$D$14:$D$5084,$B20,OUT!$B$14:$B$5084,"&gt;="&amp;$C20,OUT!$L$14:$L$5084,"&lt;&gt;Adjustment")</f>
        <v>4.1680000000000002E-2</v>
      </c>
      <c r="J20" s="92">
        <f>SUMIFS(OUT!$E$14:$E$5084,OUT!$C$14:$C$5084,$A20,OUT!$D$14:$D$5084,$B20,OUT!$B$14:$B$5084,"&gt;="&amp;$C20,OUT!$L$14:$L$5084,"Adjustment")</f>
        <v>0</v>
      </c>
      <c r="K20" s="100">
        <f>SUMIFS(OUT!$F$14:$F$5084,OUT!$C$14:$C$5084,$A20,OUT!$D$14:$D$5084,$B20,OUT!$B$14:$B$5084,"&gt;="&amp;$C20,OUT!$L$14:$L$5084,"Adjustment")</f>
        <v>0</v>
      </c>
      <c r="L20" s="105">
        <f t="shared" si="5"/>
        <v>3</v>
      </c>
      <c r="M20" s="106">
        <f t="shared" si="6"/>
        <v>8.8760000000000006E-2</v>
      </c>
      <c r="N20" s="299"/>
      <c r="O20" s="298">
        <f>_xlfn.MAXIFS('OPNAME LOG'!$A$2:$A$1000,'OPNAME LOG'!$B$2:$B$1000,IF($A20="Teak","Jati",IF($A20="Pine","Pinus",$A20)),'OPNAME LOG'!$C$2:$C$1000,$B20)</f>
        <v>46319</v>
      </c>
      <c r="P20" s="105">
        <f>SUMIFS('OPNAME LOG'!$D$2:$D$1000,'OPNAME LOG'!$A$2:$A$1000,$O20,'OPNAME LOG'!$B$2:$B$1000,IF($A20="Teak","Jati",IF($A20="Pine","Pinus",$A20)),'OPNAME LOG'!$C$2:$C$1000,$B20)+SUMIFS('OPNAME LOG'!$D$2:$D$1000,'OPNAME LOG'!$A$2:$A$1000,$O20,'OPNAME LOG'!$B$2:$B$1000,IF($A20="Teak","Jati",IF($A20="Pine","Pinus",$A20)),'OPNAME LOG'!$C$2:$C$1000,$B20&amp;" (Grade A)")</f>
        <v>3</v>
      </c>
      <c r="Q20" s="106">
        <f>SUMIFS('OPNAME LOG'!$E$2:$E$1000,'OPNAME LOG'!$A$2:$A$1000,$O20,'OPNAME LOG'!$B$2:$B$1000,IF($A20="Teak","Jati",IF($A20="Pine","Pinus",$A20)),'OPNAME LOG'!$C$2:$C$1000,$B20)+SUMIFS('OPNAME LOG'!$E$2:$E$1000,'OPNAME LOG'!$A$2:$A$1000,$O20,'OPNAME LOG'!$B$2:$B$1000,IF($A20="Teak","Jati",IF($A20="Pine","Pinus",$A20)),'OPNAME LOG'!$C$2:$C$1000,$B20&amp;" (Grade A)")</f>
        <v>8.8760000000000006E-2</v>
      </c>
      <c r="R20" s="105">
        <f t="shared" si="7"/>
        <v>0</v>
      </c>
      <c r="S20" s="106">
        <f t="shared" si="8"/>
        <v>0</v>
      </c>
    </row>
    <row r="21" spans="1:19" s="80" customFormat="1" ht="18" customHeight="1" x14ac:dyDescent="0.25">
      <c r="A21" s="90" t="s">
        <v>15</v>
      </c>
      <c r="B21" s="91">
        <v>4.5</v>
      </c>
      <c r="C21" s="298">
        <v>46310</v>
      </c>
      <c r="D21" s="92">
        <f>SUMIFS('OPNAME LOG'!$D$2:$D$1000,'OPNAME LOG'!$A$2:$A$1000,DATE(2026,10,14),'OPNAME LOG'!$B$2:$B$1000,IF($A21="Teak","Jati",IF($A21="Pine","Pinus",$A21)),'OPNAME LOG'!$C$2:$C$1000,$B21)+SUMIFS('OPNAME LOG'!$D$2:$D$1000,'OPNAME LOG'!$A$2:$A$1000,DATE(2026,10,14),'OPNAME LOG'!$B$2:$B$1000,IF($A21="Teak","Jati",IF($A21="Pine","Pinus",$A21)),'OPNAME LOG'!$C$2:$C$1000,$B21&amp;" (Grade A)")</f>
        <v>39</v>
      </c>
      <c r="E21" s="100">
        <f>SUMIFS('OPNAME LOG'!$E$2:$E$1000,'OPNAME LOG'!$A$2:$A$1000,DATE(2026,10,14),'OPNAME LOG'!$B$2:$B$1000,IF($A21="Teak","Jati",IF($A21="Pine","Pinus",$A21)),'OPNAME LOG'!$C$2:$C$1000,$B21)+SUMIFS('OPNAME LOG'!$E$2:$E$1000,'OPNAME LOG'!$A$2:$A$1000,DATE(2026,10,14),'OPNAME LOG'!$B$2:$B$1000,IF($A21="Teak","Jati",IF($A21="Pine","Pinus",$A21)),'OPNAME LOG'!$C$2:$C$1000,$B21&amp;" (Grade A)")</f>
        <v>0.39424500000000012</v>
      </c>
      <c r="F21" s="92">
        <f>SUMIFS(INCOMING!$E$2:$E$5000,INCOMING!$C$2:$C$5000,$A21,INCOMING!$D$2:$D$5000,$B21,INCOMING!$B$2:$B$5000,"&gt;="&amp;$C21)</f>
        <v>0</v>
      </c>
      <c r="G21" s="100">
        <f>SUMIFS(INCOMING!$F$2:$F$5000,INCOMING!$C$2:$C$5000,$A21,INCOMING!$D$2:$D$5000,$B21,INCOMING!$B$2:$B$5000,"&gt;="&amp;$C21)</f>
        <v>0</v>
      </c>
      <c r="H21" s="92">
        <f>SUMIFS(OUT!$E$14:$E$5084,OUT!$C$14:$C$5084,$A21,OUT!$D$14:$D$5084,$B21,OUT!$B$14:$B$5084,"&gt;="&amp;$C21,OUT!$L$14:$L$5084,"&lt;&gt;Adjustment")</f>
        <v>39</v>
      </c>
      <c r="I21" s="100">
        <f>SUMIFS(OUT!$F$14:$F$5084,OUT!$C$14:$C$5084,$A21,OUT!$D$14:$D$5084,$B21,OUT!$B$14:$B$5084,"&gt;="&amp;$C21,OUT!$L$14:$L$5084,"&lt;&gt;Adjustment")</f>
        <v>0.388575</v>
      </c>
      <c r="J21" s="92">
        <f>SUMIFS(OUT!$E$14:$E$5084,OUT!$C$14:$C$5084,$A21,OUT!$D$14:$D$5084,$B21,OUT!$B$14:$B$5084,"&gt;="&amp;$C21,OUT!$L$14:$L$5084,"Adjustment")</f>
        <v>0</v>
      </c>
      <c r="K21" s="100">
        <f>SUMIFS(OUT!$F$14:$F$5084,OUT!$C$14:$C$5084,$A21,OUT!$D$14:$D$5084,$B21,OUT!$B$14:$B$5084,"&gt;="&amp;$C21,OUT!$L$14:$L$5084,"Adjustment")</f>
        <v>0</v>
      </c>
      <c r="L21" s="105">
        <f t="shared" si="5"/>
        <v>0</v>
      </c>
      <c r="M21" s="106">
        <f t="shared" si="6"/>
        <v>5.6700000000001194E-3</v>
      </c>
      <c r="N21" s="299"/>
      <c r="O21" s="298">
        <f>_xlfn.MAXIFS('OPNAME LOG'!$A$2:$A$1000,'OPNAME LOG'!$B$2:$B$1000,IF($A21="Teak","Jati",IF($A21="Pine","Pinus",$A21)),'OPNAME LOG'!$C$2:$C$1000,$B21)</f>
        <v>46319</v>
      </c>
      <c r="P21" s="105">
        <f>SUMIFS('OPNAME LOG'!$D$2:$D$1000,'OPNAME LOG'!$A$2:$A$1000,$O21,'OPNAME LOG'!$B$2:$B$1000,IF($A21="Teak","Jati",IF($A21="Pine","Pinus",$A21)),'OPNAME LOG'!$C$2:$C$1000,$B21)+SUMIFS('OPNAME LOG'!$D$2:$D$1000,'OPNAME LOG'!$A$2:$A$1000,$O21,'OPNAME LOG'!$B$2:$B$1000,IF($A21="Teak","Jati",IF($A21="Pine","Pinus",$A21)),'OPNAME LOG'!$C$2:$C$1000,$B21&amp;" (Grade A)")</f>
        <v>0</v>
      </c>
      <c r="Q21" s="106">
        <f>SUMIFS('OPNAME LOG'!$E$2:$E$1000,'OPNAME LOG'!$A$2:$A$1000,$O21,'OPNAME LOG'!$B$2:$B$1000,IF($A21="Teak","Jati",IF($A21="Pine","Pinus",$A21)),'OPNAME LOG'!$C$2:$C$1000,$B21)+SUMIFS('OPNAME LOG'!$E$2:$E$1000,'OPNAME LOG'!$A$2:$A$1000,$O21,'OPNAME LOG'!$B$2:$B$1000,IF($A21="Teak","Jati",IF($A21="Pine","Pinus",$A21)),'OPNAME LOG'!$C$2:$C$1000,$B21&amp;" (Grade A)")</f>
        <v>5.6699999999999997E-3</v>
      </c>
      <c r="R21" s="105">
        <f t="shared" si="7"/>
        <v>0</v>
      </c>
      <c r="S21" s="106">
        <f t="shared" si="8"/>
        <v>0</v>
      </c>
    </row>
    <row r="22" spans="1:19" s="80" customFormat="1" ht="18" customHeight="1" x14ac:dyDescent="0.25">
      <c r="A22" s="90" t="s">
        <v>15</v>
      </c>
      <c r="B22" s="91">
        <v>5</v>
      </c>
      <c r="C22" s="298">
        <v>46310</v>
      </c>
      <c r="D22" s="92">
        <f>SUMIFS('OPNAME LOG'!$D$2:$D$1000,'OPNAME LOG'!$A$2:$A$1000,DATE(2026,10,14),'OPNAME LOG'!$B$2:$B$1000,IF($A22="Teak","Jati",IF($A22="Pine","Pinus",$A22)),'OPNAME LOG'!$C$2:$C$1000,$B22)+SUMIFS('OPNAME LOG'!$D$2:$D$1000,'OPNAME LOG'!$A$2:$A$1000,DATE(2026,10,14),'OPNAME LOG'!$B$2:$B$1000,IF($A22="Teak","Jati",IF($A22="Pine","Pinus",$A22)),'OPNAME LOG'!$C$2:$C$1000,$B22&amp;" (Grade A)")</f>
        <v>43</v>
      </c>
      <c r="E22" s="100">
        <f>SUMIFS('OPNAME LOG'!$E$2:$E$1000,'OPNAME LOG'!$A$2:$A$1000,DATE(2026,10,14),'OPNAME LOG'!$B$2:$B$1000,IF($A22="Teak","Jati",IF($A22="Pine","Pinus",$A22)),'OPNAME LOG'!$C$2:$C$1000,$B22)+SUMIFS('OPNAME LOG'!$E$2:$E$1000,'OPNAME LOG'!$A$2:$A$1000,DATE(2026,10,14),'OPNAME LOG'!$B$2:$B$1000,IF($A22="Teak","Jati",IF($A22="Pine","Pinus",$A22)),'OPNAME LOG'!$C$2:$C$1000,$B22&amp;" (Grade A)")</f>
        <v>0.42830000000000013</v>
      </c>
      <c r="F22" s="92">
        <f>SUMIFS(INCOMING!$E$2:$E$5000,INCOMING!$C$2:$C$5000,$A22,INCOMING!$D$2:$D$5000,$B22,INCOMING!$B$2:$B$5000,"&gt;="&amp;$C22)</f>
        <v>0</v>
      </c>
      <c r="G22" s="100">
        <f>SUMIFS(INCOMING!$F$2:$F$5000,INCOMING!$C$2:$C$5000,$A22,INCOMING!$D$2:$D$5000,$B22,INCOMING!$B$2:$B$5000,"&gt;="&amp;$C22)</f>
        <v>0</v>
      </c>
      <c r="H22" s="92">
        <f>SUMIFS(OUT!$E$14:$E$5084,OUT!$C$14:$C$5084,$A22,OUT!$D$14:$D$5084,$B22,OUT!$B$14:$B$5084,"&gt;="&amp;$C22,OUT!$L$14:$L$5084,"&lt;&gt;Adjustment")</f>
        <v>36</v>
      </c>
      <c r="I22" s="100">
        <f>SUMIFS(OUT!$F$14:$F$5084,OUT!$C$14:$C$5084,$A22,OUT!$D$14:$D$5084,$B22,OUT!$B$14:$B$5084,"&gt;="&amp;$C22,OUT!$L$14:$L$5084,"&lt;&gt;Adjustment")</f>
        <v>0.35364499999999999</v>
      </c>
      <c r="J22" s="92">
        <f>SUMIFS(OUT!$E$14:$E$5084,OUT!$C$14:$C$5084,$A22,OUT!$D$14:$D$5084,$B22,OUT!$B$14:$B$5084,"&gt;="&amp;$C22,OUT!$L$14:$L$5084,"Adjustment")</f>
        <v>0</v>
      </c>
      <c r="K22" s="100">
        <f>SUMIFS(OUT!$F$14:$F$5084,OUT!$C$14:$C$5084,$A22,OUT!$D$14:$D$5084,$B22,OUT!$B$14:$B$5084,"&gt;="&amp;$C22,OUT!$L$14:$L$5084,"Adjustment")</f>
        <v>0</v>
      </c>
      <c r="L22" s="105">
        <f t="shared" si="5"/>
        <v>7</v>
      </c>
      <c r="M22" s="106">
        <f t="shared" si="6"/>
        <v>7.4655000000000138E-2</v>
      </c>
      <c r="N22" s="299"/>
      <c r="O22" s="298">
        <f>_xlfn.MAXIFS('OPNAME LOG'!$A$2:$A$1000,'OPNAME LOG'!$B$2:$B$1000,IF($A22="Teak","Jati",IF($A22="Pine","Pinus",$A22)),'OPNAME LOG'!$C$2:$C$1000,$B22)</f>
        <v>46319</v>
      </c>
      <c r="P22" s="105">
        <f>SUMIFS('OPNAME LOG'!$D$2:$D$1000,'OPNAME LOG'!$A$2:$A$1000,$O22,'OPNAME LOG'!$B$2:$B$1000,IF($A22="Teak","Jati",IF($A22="Pine","Pinus",$A22)),'OPNAME LOG'!$C$2:$C$1000,$B22)+SUMIFS('OPNAME LOG'!$D$2:$D$1000,'OPNAME LOG'!$A$2:$A$1000,$O22,'OPNAME LOG'!$B$2:$B$1000,IF($A22="Teak","Jati",IF($A22="Pine","Pinus",$A22)),'OPNAME LOG'!$C$2:$C$1000,$B22&amp;" (Grade A)")</f>
        <v>7</v>
      </c>
      <c r="Q22" s="106">
        <f>SUMIFS('OPNAME LOG'!$E$2:$E$1000,'OPNAME LOG'!$A$2:$A$1000,$O22,'OPNAME LOG'!$B$2:$B$1000,IF($A22="Teak","Jati",IF($A22="Pine","Pinus",$A22)),'OPNAME LOG'!$C$2:$C$1000,$B22)+SUMIFS('OPNAME LOG'!$E$2:$E$1000,'OPNAME LOG'!$A$2:$A$1000,$O22,'OPNAME LOG'!$B$2:$B$1000,IF($A22="Teak","Jati",IF($A22="Pine","Pinus",$A22)),'OPNAME LOG'!$C$2:$C$1000,$B22&amp;" (Grade A)")</f>
        <v>7.4654999999999999E-2</v>
      </c>
      <c r="R22" s="105">
        <f t="shared" si="7"/>
        <v>0</v>
      </c>
      <c r="S22" s="106">
        <f t="shared" si="8"/>
        <v>0</v>
      </c>
    </row>
    <row r="23" spans="1:19" s="80" customFormat="1" ht="18" customHeight="1" x14ac:dyDescent="0.25">
      <c r="A23" s="90" t="s">
        <v>15</v>
      </c>
      <c r="B23" s="91">
        <v>5.5</v>
      </c>
      <c r="C23" s="298">
        <v>46310</v>
      </c>
      <c r="D23" s="92">
        <f>SUMIFS('OPNAME LOG'!$D$2:$D$1000,'OPNAME LOG'!$A$2:$A$1000,DATE(2026,10,14),'OPNAME LOG'!$B$2:$B$1000,IF($A23="Teak","Jati",IF($A23="Pine","Pinus",$A23)),'OPNAME LOG'!$C$2:$C$1000,$B23)+SUMIFS('OPNAME LOG'!$D$2:$D$1000,'OPNAME LOG'!$A$2:$A$1000,DATE(2026,10,14),'OPNAME LOG'!$B$2:$B$1000,IF($A23="Teak","Jati",IF($A23="Pine","Pinus",$A23)),'OPNAME LOG'!$C$2:$C$1000,$B23&amp;" (Grade A)")</f>
        <v>34</v>
      </c>
      <c r="E23" s="100">
        <f>SUMIFS('OPNAME LOG'!$E$2:$E$1000,'OPNAME LOG'!$A$2:$A$1000,DATE(2026,10,14),'OPNAME LOG'!$B$2:$B$1000,IF($A23="Teak","Jati",IF($A23="Pine","Pinus",$A23)),'OPNAME LOG'!$C$2:$C$1000,$B23)+SUMIFS('OPNAME LOG'!$E$2:$E$1000,'OPNAME LOG'!$A$2:$A$1000,DATE(2026,10,14),'OPNAME LOG'!$B$2:$B$1000,IF($A23="Teak","Jati",IF($A23="Pine","Pinus",$A23)),'OPNAME LOG'!$C$2:$C$1000,$B23&amp;" (Grade A)")</f>
        <v>0.40001500000000001</v>
      </c>
      <c r="F23" s="92">
        <f>SUMIFS(INCOMING!$E$2:$E$5000,INCOMING!$C$2:$C$5000,$A23,INCOMING!$D$2:$D$5000,$B23,INCOMING!$B$2:$B$5000,"&gt;="&amp;$C23)</f>
        <v>0</v>
      </c>
      <c r="G23" s="100">
        <f>SUMIFS(INCOMING!$F$2:$F$5000,INCOMING!$C$2:$C$5000,$A23,INCOMING!$D$2:$D$5000,$B23,INCOMING!$B$2:$B$5000,"&gt;="&amp;$C23)</f>
        <v>0</v>
      </c>
      <c r="H23" s="92">
        <f>SUMIFS(OUT!$E$14:$E$5084,OUT!$C$14:$C$5084,$A23,OUT!$D$14:$D$5084,$B23,OUT!$B$14:$B$5084,"&gt;="&amp;$C23,OUT!$L$14:$L$5084,"&lt;&gt;Adjustment")</f>
        <v>24</v>
      </c>
      <c r="I23" s="100">
        <f>SUMIFS(OUT!$F$14:$F$5084,OUT!$C$14:$C$5084,$A23,OUT!$D$14:$D$5084,$B23,OUT!$B$14:$B$5084,"&gt;="&amp;$C23,OUT!$L$14:$L$5084,"&lt;&gt;Adjustment")</f>
        <v>0.29496499999999998</v>
      </c>
      <c r="J23" s="92">
        <f>SUMIFS(OUT!$E$14:$E$5084,OUT!$C$14:$C$5084,$A23,OUT!$D$14:$D$5084,$B23,OUT!$B$14:$B$5084,"&gt;="&amp;$C23,OUT!$L$14:$L$5084,"Adjustment")</f>
        <v>0</v>
      </c>
      <c r="K23" s="100">
        <f>SUMIFS(OUT!$F$14:$F$5084,OUT!$C$14:$C$5084,$A23,OUT!$D$14:$D$5084,$B23,OUT!$B$14:$B$5084,"&gt;="&amp;$C23,OUT!$L$14:$L$5084,"Adjustment")</f>
        <v>0</v>
      </c>
      <c r="L23" s="105">
        <f t="shared" si="5"/>
        <v>10</v>
      </c>
      <c r="M23" s="106">
        <f t="shared" si="6"/>
        <v>0.10505000000000003</v>
      </c>
      <c r="N23" s="299"/>
      <c r="O23" s="298">
        <f>_xlfn.MAXIFS('OPNAME LOG'!$A$2:$A$1000,'OPNAME LOG'!$B$2:$B$1000,IF($A23="Teak","Jati",IF($A23="Pine","Pinus",$A23)),'OPNAME LOG'!$C$2:$C$1000,$B23)</f>
        <v>46319</v>
      </c>
      <c r="P23" s="105">
        <f>SUMIFS('OPNAME LOG'!$D$2:$D$1000,'OPNAME LOG'!$A$2:$A$1000,$O23,'OPNAME LOG'!$B$2:$B$1000,IF($A23="Teak","Jati",IF($A23="Pine","Pinus",$A23)),'OPNAME LOG'!$C$2:$C$1000,$B23)+SUMIFS('OPNAME LOG'!$D$2:$D$1000,'OPNAME LOG'!$A$2:$A$1000,$O23,'OPNAME LOG'!$B$2:$B$1000,IF($A23="Teak","Jati",IF($A23="Pine","Pinus",$A23)),'OPNAME LOG'!$C$2:$C$1000,$B23&amp;" (Grade A)")</f>
        <v>10</v>
      </c>
      <c r="Q23" s="106">
        <f>SUMIFS('OPNAME LOG'!$E$2:$E$1000,'OPNAME LOG'!$A$2:$A$1000,$O23,'OPNAME LOG'!$B$2:$B$1000,IF($A23="Teak","Jati",IF($A23="Pine","Pinus",$A23)),'OPNAME LOG'!$C$2:$C$1000,$B23)+SUMIFS('OPNAME LOG'!$E$2:$E$1000,'OPNAME LOG'!$A$2:$A$1000,$O23,'OPNAME LOG'!$B$2:$B$1000,IF($A23="Teak","Jati",IF($A23="Pine","Pinus",$A23)),'OPNAME LOG'!$C$2:$C$1000,$B23&amp;" (Grade A)")</f>
        <v>0.10505</v>
      </c>
      <c r="R23" s="105">
        <f t="shared" si="7"/>
        <v>0</v>
      </c>
      <c r="S23" s="106">
        <f t="shared" si="8"/>
        <v>0</v>
      </c>
    </row>
    <row r="24" spans="1:19" s="80" customFormat="1" ht="18" customHeight="1" x14ac:dyDescent="0.25">
      <c r="A24" s="90" t="s">
        <v>15</v>
      </c>
      <c r="B24" s="91">
        <v>7.5</v>
      </c>
      <c r="C24" s="298">
        <v>46310</v>
      </c>
      <c r="D24" s="92">
        <f>SUMIFS('OPNAME LOG'!$D$2:$D$1000,'OPNAME LOG'!$A$2:$A$1000,DATE(2026,10,14),'OPNAME LOG'!$B$2:$B$1000,IF($A24="Teak","Jati",IF($A24="Pine","Pinus",$A24)),'OPNAME LOG'!$C$2:$C$1000,$B24)+SUMIFS('OPNAME LOG'!$D$2:$D$1000,'OPNAME LOG'!$A$2:$A$1000,DATE(2026,10,14),'OPNAME LOG'!$B$2:$B$1000,IF($A24="Teak","Jati",IF($A24="Pine","Pinus",$A24)),'OPNAME LOG'!$C$2:$C$1000,$B24&amp;" (Grade A)")</f>
        <v>127</v>
      </c>
      <c r="E24" s="100">
        <f>SUMIFS('OPNAME LOG'!$E$2:$E$1000,'OPNAME LOG'!$A$2:$A$1000,DATE(2026,10,14),'OPNAME LOG'!$B$2:$B$1000,IF($A24="Teak","Jati",IF($A24="Pine","Pinus",$A24)),'OPNAME LOG'!$C$2:$C$1000,$B24)+SUMIFS('OPNAME LOG'!$E$2:$E$1000,'OPNAME LOG'!$A$2:$A$1000,DATE(2026,10,14),'OPNAME LOG'!$B$2:$B$1000,IF($A24="Teak","Jati",IF($A24="Pine","Pinus",$A24)),'OPNAME LOG'!$C$2:$C$1000,$B24&amp;" (Grade A)")</f>
        <v>2.7184499999999998</v>
      </c>
      <c r="F24" s="92">
        <f>SUMIFS(INCOMING!$E$2:$E$5000,INCOMING!$C$2:$C$5000,$A24,INCOMING!$D$2:$D$5000,$B24,INCOMING!$B$2:$B$5000,"&gt;="&amp;$C24)</f>
        <v>0</v>
      </c>
      <c r="G24" s="100">
        <f>SUMIFS(INCOMING!$F$2:$F$5000,INCOMING!$C$2:$C$5000,$A24,INCOMING!$D$2:$D$5000,$B24,INCOMING!$B$2:$B$5000,"&gt;="&amp;$C24)</f>
        <v>0</v>
      </c>
      <c r="H24" s="92">
        <f>SUMIFS(OUT!$E$14:$E$5084,OUT!$C$14:$C$5084,$A24,OUT!$D$14:$D$5084,$B24,OUT!$B$14:$B$5084,"&gt;="&amp;$C24,OUT!$L$14:$L$5084,"&lt;&gt;Adjustment")</f>
        <v>25</v>
      </c>
      <c r="I24" s="100">
        <f>SUMIFS(OUT!$F$14:$F$5084,OUT!$C$14:$C$5084,$A24,OUT!$D$14:$D$5084,$B24,OUT!$B$14:$B$5084,"&gt;="&amp;$C24,OUT!$L$14:$L$5084,"&lt;&gt;Adjustment")</f>
        <v>0.68062500000000004</v>
      </c>
      <c r="J24" s="92">
        <f>SUMIFS(OUT!$E$14:$E$5084,OUT!$C$14:$C$5084,$A24,OUT!$D$14:$D$5084,$B24,OUT!$B$14:$B$5084,"&gt;="&amp;$C24,OUT!$L$14:$L$5084,"Adjustment")</f>
        <v>0</v>
      </c>
      <c r="K24" s="100">
        <f>SUMIFS(OUT!$F$14:$F$5084,OUT!$C$14:$C$5084,$A24,OUT!$D$14:$D$5084,$B24,OUT!$B$14:$B$5084,"&gt;="&amp;$C24,OUT!$L$14:$L$5084,"Adjustment")</f>
        <v>0</v>
      </c>
      <c r="L24" s="105">
        <f t="shared" si="5"/>
        <v>102</v>
      </c>
      <c r="M24" s="106">
        <f t="shared" si="6"/>
        <v>2.0378249999999998</v>
      </c>
      <c r="N24" s="299"/>
      <c r="O24" s="298">
        <f>_xlfn.MAXIFS('OPNAME LOG'!$A$2:$A$1000,'OPNAME LOG'!$B$2:$B$1000,IF($A24="Teak","Jati",IF($A24="Pine","Pinus",$A24)),'OPNAME LOG'!$C$2:$C$1000,$B24)</f>
        <v>46319</v>
      </c>
      <c r="P24" s="105">
        <f>SUMIFS('OPNAME LOG'!$D$2:$D$1000,'OPNAME LOG'!$A$2:$A$1000,$O24,'OPNAME LOG'!$B$2:$B$1000,IF($A24="Teak","Jati",IF($A24="Pine","Pinus",$A24)),'OPNAME LOG'!$C$2:$C$1000,$B24)+SUMIFS('OPNAME LOG'!$D$2:$D$1000,'OPNAME LOG'!$A$2:$A$1000,$O24,'OPNAME LOG'!$B$2:$B$1000,IF($A24="Teak","Jati",IF($A24="Pine","Pinus",$A24)),'OPNAME LOG'!$C$2:$C$1000,$B24&amp;" (Grade A)")</f>
        <v>102</v>
      </c>
      <c r="Q24" s="106">
        <f>SUMIFS('OPNAME LOG'!$E$2:$E$1000,'OPNAME LOG'!$A$2:$A$1000,$O24,'OPNAME LOG'!$B$2:$B$1000,IF($A24="Teak","Jati",IF($A24="Pine","Pinus",$A24)),'OPNAME LOG'!$C$2:$C$1000,$B24)+SUMIFS('OPNAME LOG'!$E$2:$E$1000,'OPNAME LOG'!$A$2:$A$1000,$O24,'OPNAME LOG'!$B$2:$B$1000,IF($A24="Teak","Jati",IF($A24="Pine","Pinus",$A24)),'OPNAME LOG'!$C$2:$C$1000,$B24&amp;" (Grade A)")</f>
        <v>2.0378250000000002</v>
      </c>
      <c r="R24" s="105">
        <f t="shared" si="7"/>
        <v>0</v>
      </c>
      <c r="S24" s="106">
        <f t="shared" si="8"/>
        <v>0</v>
      </c>
    </row>
    <row r="25" spans="1:19" s="80" customFormat="1" ht="18" customHeight="1" x14ac:dyDescent="0.25">
      <c r="A25" s="163" t="s">
        <v>15</v>
      </c>
      <c r="B25" s="164">
        <v>8</v>
      </c>
      <c r="C25" s="300">
        <v>46310</v>
      </c>
      <c r="D25" s="165">
        <f>SUMIFS('OPNAME LOG'!$D$2:$D$1000,'OPNAME LOG'!$A$2:$A$1000,DATE(2026,10,14),'OPNAME LOG'!$B$2:$B$1000,IF($A25="Teak","Jati",IF($A25="Pine","Pinus",$A25)),'OPNAME LOG'!$C$2:$C$1000,$B25)+SUMIFS('OPNAME LOG'!$D$2:$D$1000,'OPNAME LOG'!$A$2:$A$1000,DATE(2026,10,14),'OPNAME LOG'!$B$2:$B$1000,IF($A25="Teak","Jati",IF($A25="Pine","Pinus",$A25)),'OPNAME LOG'!$C$2:$C$1000,$B25&amp;" (Grade A)")</f>
        <v>165</v>
      </c>
      <c r="E25" s="166">
        <f>SUMIFS('OPNAME LOG'!$E$2:$E$1000,'OPNAME LOG'!$A$2:$A$1000,DATE(2026,10,14),'OPNAME LOG'!$B$2:$B$1000,IF($A25="Teak","Jati",IF($A25="Pine","Pinus",$A25)),'OPNAME LOG'!$C$2:$C$1000,$B25)+SUMIFS('OPNAME LOG'!$E$2:$E$1000,'OPNAME LOG'!$A$2:$A$1000,DATE(2026,10,14),'OPNAME LOG'!$B$2:$B$1000,IF($A25="Teak","Jati",IF($A25="Pine","Pinus",$A25)),'OPNAME LOG'!$C$2:$C$1000,$B25&amp;" (Grade A)")</f>
        <v>3.76424</v>
      </c>
      <c r="F25" s="165">
        <f>SUMIFS(INCOMING!$E$2:$E$5000,INCOMING!$C$2:$C$5000,$A25,INCOMING!$D$2:$D$5000,$B25,INCOMING!$B$2:$B$5000,"&gt;="&amp;$C25)</f>
        <v>0</v>
      </c>
      <c r="G25" s="166">
        <f>SUMIFS(INCOMING!$F$2:$F$5000,INCOMING!$C$2:$C$5000,$A25,INCOMING!$D$2:$D$5000,$B25,INCOMING!$B$2:$B$5000,"&gt;="&amp;$C25)</f>
        <v>0</v>
      </c>
      <c r="H25" s="165">
        <f>SUMIFS(OUT!$E$14:$E$5084,OUT!$C$14:$C$5084,$A25,OUT!$D$14:$D$5084,$B25,OUT!$B$14:$B$5084,"&gt;="&amp;$C25,OUT!$L$14:$L$5084,"&lt;&gt;Adjustment")</f>
        <v>9</v>
      </c>
      <c r="I25" s="166">
        <f>SUMIFS(OUT!$F$14:$F$5084,OUT!$C$14:$C$5084,$A25,OUT!$D$14:$D$5084,$B25,OUT!$B$14:$B$5084,"&gt;="&amp;$C25,OUT!$L$14:$L$5084,"&lt;&gt;Adjustment")</f>
        <v>0.22136</v>
      </c>
      <c r="J25" s="165">
        <f>SUMIFS(OUT!$E$14:$E$5084,OUT!$C$14:$C$5084,$A25,OUT!$D$14:$D$5084,$B25,OUT!$B$14:$B$5084,"&gt;="&amp;$C25,OUT!$L$14:$L$5084,"Adjustment")</f>
        <v>0</v>
      </c>
      <c r="K25" s="166">
        <f>SUMIFS(OUT!$F$14:$F$5084,OUT!$C$14:$C$5084,$A25,OUT!$D$14:$D$5084,$B25,OUT!$B$14:$B$5084,"&gt;="&amp;$C25,OUT!$L$14:$L$5084,"Adjustment")</f>
        <v>0</v>
      </c>
      <c r="L25" s="167">
        <f t="shared" si="5"/>
        <v>156</v>
      </c>
      <c r="M25" s="168">
        <f t="shared" si="6"/>
        <v>3.5428800000000003</v>
      </c>
      <c r="N25" s="301"/>
      <c r="O25" s="300">
        <f>_xlfn.MAXIFS('OPNAME LOG'!$A$2:$A$1000,'OPNAME LOG'!$B$2:$B$1000,IF($A25="Teak","Jati",IF($A25="Pine","Pinus",$A25)),'OPNAME LOG'!$C$2:$C$1000,$B25)</f>
        <v>46319</v>
      </c>
      <c r="P25" s="167">
        <f>SUMIFS('OPNAME LOG'!$D$2:$D$1000,'OPNAME LOG'!$A$2:$A$1000,$O25,'OPNAME LOG'!$B$2:$B$1000,IF($A25="Teak","Jati",IF($A25="Pine","Pinus",$A25)),'OPNAME LOG'!$C$2:$C$1000,$B25)+SUMIFS('OPNAME LOG'!$D$2:$D$1000,'OPNAME LOG'!$A$2:$A$1000,$O25,'OPNAME LOG'!$B$2:$B$1000,IF($A25="Teak","Jati",IF($A25="Pine","Pinus",$A25)),'OPNAME LOG'!$C$2:$C$1000,$B25&amp;" (Grade A)")</f>
        <v>156</v>
      </c>
      <c r="Q25" s="168">
        <f>SUMIFS('OPNAME LOG'!$E$2:$E$1000,'OPNAME LOG'!$A$2:$A$1000,$O25,'OPNAME LOG'!$B$2:$B$1000,IF($A25="Teak","Jati",IF($A25="Pine","Pinus",$A25)),'OPNAME LOG'!$C$2:$C$1000,$B25)+SUMIFS('OPNAME LOG'!$E$2:$E$1000,'OPNAME LOG'!$A$2:$A$1000,$O25,'OPNAME LOG'!$B$2:$B$1000,IF($A25="Teak","Jati",IF($A25="Pine","Pinus",$A25)),'OPNAME LOG'!$C$2:$C$1000,$B25&amp;" (Grade A)")</f>
        <v>3.5428799999999998</v>
      </c>
      <c r="R25" s="167">
        <f t="shared" si="7"/>
        <v>0</v>
      </c>
      <c r="S25" s="168">
        <f t="shared" si="8"/>
        <v>0</v>
      </c>
    </row>
    <row r="26" spans="1:19" s="80" customFormat="1" ht="20.100000000000001" customHeight="1" x14ac:dyDescent="0.25">
      <c r="A26" s="117" t="s">
        <v>16</v>
      </c>
      <c r="B26" s="118"/>
      <c r="C26" s="119"/>
      <c r="D26" s="120">
        <f t="shared" ref="D26:M26" si="9">SUM(D17:D25)</f>
        <v>1071</v>
      </c>
      <c r="E26" s="121">
        <f t="shared" si="9"/>
        <v>12.372561000000001</v>
      </c>
      <c r="F26" s="120">
        <f t="shared" si="9"/>
        <v>0</v>
      </c>
      <c r="G26" s="121">
        <f t="shared" si="9"/>
        <v>0</v>
      </c>
      <c r="H26" s="120">
        <f t="shared" si="9"/>
        <v>200</v>
      </c>
      <c r="I26" s="121">
        <f t="shared" si="9"/>
        <v>2.4424399999999995</v>
      </c>
      <c r="J26" s="120">
        <f t="shared" si="9"/>
        <v>0</v>
      </c>
      <c r="K26" s="121">
        <f t="shared" si="9"/>
        <v>0</v>
      </c>
      <c r="L26" s="120">
        <f t="shared" si="9"/>
        <v>871</v>
      </c>
      <c r="M26" s="121">
        <f t="shared" si="9"/>
        <v>9.9301209999999998</v>
      </c>
      <c r="N26" s="128"/>
      <c r="O26" s="128"/>
      <c r="P26" s="120">
        <f>SUM(P17:P25)</f>
        <v>870.72748000000001</v>
      </c>
      <c r="Q26" s="121">
        <f>SUM(Q17:Q25)</f>
        <v>9.9301210000000015</v>
      </c>
      <c r="R26" s="120">
        <f>SUM(R17:R25)</f>
        <v>0.27251999999999998</v>
      </c>
      <c r="S26" s="121">
        <f>SUM(S17:S25)</f>
        <v>0</v>
      </c>
    </row>
    <row r="27" spans="1:19" s="80" customFormat="1" ht="9" customHeight="1" x14ac:dyDescent="0.25">
      <c r="A27" s="83"/>
      <c r="B27" s="82"/>
      <c r="C27" s="98"/>
      <c r="D27" s="84"/>
      <c r="E27" s="101"/>
      <c r="F27" s="84"/>
      <c r="G27" s="101"/>
      <c r="H27" s="84"/>
      <c r="I27" s="101"/>
      <c r="J27" s="84"/>
      <c r="K27" s="101"/>
      <c r="L27" s="84"/>
      <c r="M27" s="101"/>
      <c r="N27" s="129"/>
    </row>
    <row r="28" spans="1:19" s="80" customFormat="1" ht="18" customHeight="1" x14ac:dyDescent="0.25">
      <c r="A28" s="94" t="s">
        <v>17</v>
      </c>
      <c r="B28" s="95">
        <v>2.5</v>
      </c>
      <c r="C28" s="302">
        <v>46309</v>
      </c>
      <c r="D28" s="96">
        <f>SUMIFS('OPNAME LOG'!$D$2:$D$1000,'OPNAME LOG'!$A$2:$A$1000,DATE(2026,10,14),'OPNAME LOG'!$B$2:$B$1000,IF($A28="Teak","Jati",IF($A28="Pine","Pinus",$A28)),'OPNAME LOG'!$C$2:$C$1000,$B28)+SUMIFS('OPNAME LOG'!$D$2:$D$1000,'OPNAME LOG'!$A$2:$A$1000,DATE(2026,10,14),'OPNAME LOG'!$B$2:$B$1000,IF($A28="Teak","Jati",IF($A28="Pine","Pinus",$A28)),'OPNAME LOG'!$C$2:$C$1000,$B28&amp;" (Grade A)")</f>
        <v>12</v>
      </c>
      <c r="E28" s="102">
        <f>SUMIFS('OPNAME LOG'!$E$2:$E$1000,'OPNAME LOG'!$A$2:$A$1000,DATE(2026,10,14),'OPNAME LOG'!$B$2:$B$1000,IF($A28="Teak","Jati",IF($A28="Pine","Pinus",$A28)),'OPNAME LOG'!$C$2:$C$1000,$B28)+SUMIFS('OPNAME LOG'!$E$2:$E$1000,'OPNAME LOG'!$A$2:$A$1000,DATE(2026,10,14),'OPNAME LOG'!$B$2:$B$1000,IF($A28="Teak","Jati",IF($A28="Pine","Pinus",$A28)),'OPNAME LOG'!$C$2:$C$1000,$B28&amp;" (Grade A)")</f>
        <v>4.8779999999999983E-2</v>
      </c>
      <c r="F28" s="96">
        <f>SUMIFS(INCOMING!$E$2:$E$5000,INCOMING!$C$2:$C$5000,$A28,INCOMING!$D$2:$D$5000,$B28,INCOMING!$B$2:$B$5000,"&gt;="&amp;$C28)</f>
        <v>0</v>
      </c>
      <c r="G28" s="102">
        <f>SUMIFS(INCOMING!$F$2:$F$5000,INCOMING!$C$2:$C$5000,$A28,INCOMING!$D$2:$D$5000,$B28,INCOMING!$B$2:$B$5000,"&gt;="&amp;$C28)</f>
        <v>0</v>
      </c>
      <c r="H28" s="96">
        <f>SUMIFS(OUT!$E$14:$E$5084,OUT!$C$14:$C$5084,$A28,OUT!$D$14:$D$5084,$B28,OUT!$B$14:$B$5084,"&gt;="&amp;$C28,OUT!$L$14:$L$5084,"&lt;&gt;Adjustment")</f>
        <v>4</v>
      </c>
      <c r="I28" s="102">
        <f>SUMIFS(OUT!$F$14:$F$5084,OUT!$C$14:$C$5084,$A28,OUT!$D$14:$D$5084,$B28,OUT!$B$14:$B$5084,"&gt;="&amp;$C28,OUT!$L$14:$L$5084,"&lt;&gt;Adjustment")</f>
        <v>1.4274999999999999E-2</v>
      </c>
      <c r="J28" s="96">
        <f>SUMIFS(OUT!$E$14:$E$5084,OUT!$C$14:$C$5084,$A28,OUT!$D$14:$D$5084,$B28,OUT!$B$14:$B$5084,"&gt;="&amp;$C28,OUT!$L$14:$L$5084,"Adjustment")</f>
        <v>0</v>
      </c>
      <c r="K28" s="102">
        <f>SUMIFS(OUT!$F$14:$F$5084,OUT!$C$14:$C$5084,$A28,OUT!$D$14:$D$5084,$B28,OUT!$B$14:$B$5084,"&gt;="&amp;$C28,OUT!$L$14:$L$5084,"Adjustment")</f>
        <v>0</v>
      </c>
      <c r="L28" s="108">
        <f>D28+F28-H28-J28</f>
        <v>8</v>
      </c>
      <c r="M28" s="109">
        <f>E28+G28-I28-K28</f>
        <v>3.450499999999998E-2</v>
      </c>
      <c r="N28" s="303"/>
      <c r="O28" s="302">
        <f>_xlfn.MAXIFS('OPNAME LOG'!$A$2:$A$1000,'OPNAME LOG'!$B$2:$B$1000,IF($A28="Teak","Jati",IF($A28="Pine","Pinus",$A28)),'OPNAME LOG'!$C$2:$C$1000,$B28)</f>
        <v>46319</v>
      </c>
      <c r="P28" s="108">
        <f>SUMIFS('OPNAME LOG'!$D$2:$D$1000,'OPNAME LOG'!$A$2:$A$1000,$O28,'OPNAME LOG'!$B$2:$B$1000,IF($A28="Teak","Jati",IF($A28="Pine","Pinus",$A28)),'OPNAME LOG'!$C$2:$C$1000,$B28)+SUMIFS('OPNAME LOG'!$D$2:$D$1000,'OPNAME LOG'!$A$2:$A$1000,$O28,'OPNAME LOG'!$B$2:$B$1000,IF($A28="Teak","Jati",IF($A28="Pine","Pinus",$A28)),'OPNAME LOG'!$C$2:$C$1000,$B28&amp;" (Grade A)")</f>
        <v>8</v>
      </c>
      <c r="Q28" s="109">
        <f>SUMIFS('OPNAME LOG'!$E$2:$E$1000,'OPNAME LOG'!$A$2:$A$1000,$O28,'OPNAME LOG'!$B$2:$B$1000,IF($A28="Teak","Jati",IF($A28="Pine","Pinus",$A28)),'OPNAME LOG'!$C$2:$C$1000,$B28)+SUMIFS('OPNAME LOG'!$E$2:$E$1000,'OPNAME LOG'!$A$2:$A$1000,$O28,'OPNAME LOG'!$B$2:$B$1000,IF($A28="Teak","Jati",IF($A28="Pine","Pinus",$A28)),'OPNAME LOG'!$C$2:$C$1000,$B28&amp;" (Grade A)")</f>
        <v>3.4505000000000001E-2</v>
      </c>
      <c r="R28" s="108">
        <f>ROUND(L28-P28,6)</f>
        <v>0</v>
      </c>
      <c r="S28" s="109">
        <f>ROUND(M28-Q28,6)</f>
        <v>0</v>
      </c>
    </row>
    <row r="29" spans="1:19" s="80" customFormat="1" ht="18" customHeight="1" x14ac:dyDescent="0.25">
      <c r="A29" s="110" t="s">
        <v>17</v>
      </c>
      <c r="B29" s="111">
        <v>3.5</v>
      </c>
      <c r="C29" s="304">
        <v>46309</v>
      </c>
      <c r="D29" s="112">
        <f>SUMIFS('OPNAME LOG'!$D$2:$D$1000,'OPNAME LOG'!$A$2:$A$1000,DATE(2026,10,14),'OPNAME LOG'!$B$2:$B$1000,IF($A29="Teak","Jati",IF($A29="Pine","Pinus",$A29)),'OPNAME LOG'!$C$2:$C$1000,$B29)+SUMIFS('OPNAME LOG'!$D$2:$D$1000,'OPNAME LOG'!$A$2:$A$1000,DATE(2026,10,14),'OPNAME LOG'!$B$2:$B$1000,IF($A29="Teak","Jati",IF($A29="Pine","Pinus",$A29)),'OPNAME LOG'!$C$2:$C$1000,$B29&amp;" (Grade A)")</f>
        <v>8</v>
      </c>
      <c r="E29" s="113">
        <f>SUMIFS('OPNAME LOG'!$E$2:$E$1000,'OPNAME LOG'!$A$2:$A$1000,DATE(2026,10,14),'OPNAME LOG'!$B$2:$B$1000,IF($A29="Teak","Jati",IF($A29="Pine","Pinus",$A29)),'OPNAME LOG'!$C$2:$C$1000,$B29)+SUMIFS('OPNAME LOG'!$E$2:$E$1000,'OPNAME LOG'!$A$2:$A$1000,DATE(2026,10,14),'OPNAME LOG'!$B$2:$B$1000,IF($A29="Teak","Jati",IF($A29="Pine","Pinus",$A29)),'OPNAME LOG'!$C$2:$C$1000,$B29&amp;" (Grade A)")</f>
        <v>8.7674999999999614E-2</v>
      </c>
      <c r="F29" s="112">
        <f>SUMIFS(INCOMING!$E$2:$E$5000,INCOMING!$C$2:$C$5000,$A29,INCOMING!$D$2:$D$5000,$B29,INCOMING!$B$2:$B$5000,"&gt;="&amp;$C29)</f>
        <v>0</v>
      </c>
      <c r="G29" s="113">
        <f>SUMIFS(INCOMING!$F$2:$F$5000,INCOMING!$C$2:$C$5000,$A29,INCOMING!$D$2:$D$5000,$B29,INCOMING!$B$2:$B$5000,"&gt;="&amp;$C29)</f>
        <v>0</v>
      </c>
      <c r="H29" s="112">
        <f>SUMIFS(OUT!$E$14:$E$5084,OUT!$C$14:$C$5084,$A29,OUT!$D$14:$D$5084,$B29,OUT!$B$14:$B$5084,"&gt;="&amp;$C29,OUT!$L$14:$L$5084,"&lt;&gt;Adjustment")</f>
        <v>0</v>
      </c>
      <c r="I29" s="113">
        <f>SUMIFS(OUT!$F$14:$F$5084,OUT!$C$14:$C$5084,$A29,OUT!$D$14:$D$5084,$B29,OUT!$B$14:$B$5084,"&gt;="&amp;$C29,OUT!$L$14:$L$5084,"&lt;&gt;Adjustment")</f>
        <v>0</v>
      </c>
      <c r="J29" s="112">
        <f>SUMIFS(OUT!$E$14:$E$5084,OUT!$C$14:$C$5084,$A29,OUT!$D$14:$D$5084,$B29,OUT!$B$14:$B$5084,"&gt;="&amp;$C29,OUT!$L$14:$L$5084,"Adjustment")</f>
        <v>0</v>
      </c>
      <c r="K29" s="113">
        <f>SUMIFS(OUT!$F$14:$F$5084,OUT!$C$14:$C$5084,$A29,OUT!$D$14:$D$5084,$B29,OUT!$B$14:$B$5084,"&gt;="&amp;$C29,OUT!$L$14:$L$5084,"Adjustment")</f>
        <v>0</v>
      </c>
      <c r="L29" s="114">
        <f>D29+F29-H29-J29</f>
        <v>8</v>
      </c>
      <c r="M29" s="115">
        <f>E29+G29-I29-K29</f>
        <v>8.7674999999999614E-2</v>
      </c>
      <c r="N29" s="301"/>
      <c r="O29" s="304">
        <f>_xlfn.MAXIFS('OPNAME LOG'!$A$2:$A$1000,'OPNAME LOG'!$B$2:$B$1000,IF($A29="Teak","Jati",IF($A29="Pine","Pinus",$A29)),'OPNAME LOG'!$C$2:$C$1000,$B29)</f>
        <v>46319</v>
      </c>
      <c r="P29" s="114">
        <f>SUMIFS('OPNAME LOG'!$D$2:$D$1000,'OPNAME LOG'!$A$2:$A$1000,$O29,'OPNAME LOG'!$B$2:$B$1000,IF($A29="Teak","Jati",IF($A29="Pine","Pinus",$A29)),'OPNAME LOG'!$C$2:$C$1000,$B29)+SUMIFS('OPNAME LOG'!$D$2:$D$1000,'OPNAME LOG'!$A$2:$A$1000,$O29,'OPNAME LOG'!$B$2:$B$1000,IF($A29="Teak","Jati",IF($A29="Pine","Pinus",$A29)),'OPNAME LOG'!$C$2:$C$1000,$B29&amp;" (Grade A)")</f>
        <v>8</v>
      </c>
      <c r="Q29" s="115">
        <f>SUMIFS('OPNAME LOG'!$E$2:$E$1000,'OPNAME LOG'!$A$2:$A$1000,$O29,'OPNAME LOG'!$B$2:$B$1000,IF($A29="Teak","Jati",IF($A29="Pine","Pinus",$A29)),'OPNAME LOG'!$C$2:$C$1000,$B29)+SUMIFS('OPNAME LOG'!$E$2:$E$1000,'OPNAME LOG'!$A$2:$A$1000,$O29,'OPNAME LOG'!$B$2:$B$1000,IF($A29="Teak","Jati",IF($A29="Pine","Pinus",$A29)),'OPNAME LOG'!$C$2:$C$1000,$B29&amp;" (Grade A)")</f>
        <v>8.7675000000000003E-2</v>
      </c>
      <c r="R29" s="114">
        <f>ROUND(L29-P29,6)</f>
        <v>0</v>
      </c>
      <c r="S29" s="115">
        <f>ROUND(M29-Q29,6)</f>
        <v>0</v>
      </c>
    </row>
    <row r="30" spans="1:19" s="80" customFormat="1" ht="20.100000000000001" customHeight="1" x14ac:dyDescent="0.25">
      <c r="A30" s="117" t="s">
        <v>18</v>
      </c>
      <c r="B30" s="118"/>
      <c r="C30" s="119"/>
      <c r="D30" s="120">
        <f t="shared" ref="D30:M30" si="10">SUM(D28:D29)</f>
        <v>20</v>
      </c>
      <c r="E30" s="121">
        <f t="shared" si="10"/>
        <v>0.1364549999999996</v>
      </c>
      <c r="F30" s="120">
        <f t="shared" si="10"/>
        <v>0</v>
      </c>
      <c r="G30" s="121">
        <f t="shared" si="10"/>
        <v>0</v>
      </c>
      <c r="H30" s="120">
        <f t="shared" si="10"/>
        <v>4</v>
      </c>
      <c r="I30" s="121">
        <f t="shared" si="10"/>
        <v>1.4274999999999999E-2</v>
      </c>
      <c r="J30" s="120">
        <f t="shared" si="10"/>
        <v>0</v>
      </c>
      <c r="K30" s="121">
        <f t="shared" si="10"/>
        <v>0</v>
      </c>
      <c r="L30" s="120">
        <f t="shared" si="10"/>
        <v>16</v>
      </c>
      <c r="M30" s="121">
        <f t="shared" si="10"/>
        <v>0.12217999999999959</v>
      </c>
      <c r="N30" s="128"/>
      <c r="O30" s="128"/>
      <c r="P30" s="120">
        <f>SUM(P28:P29)</f>
        <v>16</v>
      </c>
      <c r="Q30" s="121">
        <f>SUM(Q28:Q29)</f>
        <v>0.12218000000000001</v>
      </c>
      <c r="R30" s="120">
        <f>SUM(R28:R29)</f>
        <v>0</v>
      </c>
      <c r="S30" s="121">
        <f>SUM(S28:S29)</f>
        <v>0</v>
      </c>
    </row>
    <row r="31" spans="1:19" s="80" customFormat="1" ht="9" customHeight="1" thickBot="1" x14ac:dyDescent="0.3">
      <c r="A31" s="16"/>
      <c r="B31" s="16"/>
      <c r="C31" s="98"/>
      <c r="D31" s="84"/>
      <c r="E31" s="101"/>
      <c r="F31" s="84"/>
      <c r="G31" s="101"/>
      <c r="H31" s="84"/>
      <c r="I31" s="101"/>
      <c r="J31" s="84"/>
      <c r="K31" s="101"/>
      <c r="L31" s="84"/>
      <c r="M31" s="101"/>
      <c r="N31" s="129"/>
    </row>
    <row r="32" spans="1:19" s="80" customFormat="1" ht="21.95" customHeight="1" thickBot="1" x14ac:dyDescent="0.3">
      <c r="A32" s="122" t="s">
        <v>69</v>
      </c>
      <c r="B32" s="122"/>
      <c r="C32" s="123"/>
      <c r="D32" s="124"/>
      <c r="E32" s="125"/>
      <c r="F32" s="124"/>
      <c r="G32" s="125"/>
      <c r="H32" s="124"/>
      <c r="I32" s="125"/>
      <c r="J32" s="124"/>
      <c r="K32" s="125"/>
      <c r="L32" s="124">
        <f>L15+L26+L30</f>
        <v>1682.9808</v>
      </c>
      <c r="M32" s="125">
        <f>M15+M26+M30</f>
        <v>26.176261</v>
      </c>
      <c r="N32" s="130"/>
      <c r="O32" s="130"/>
      <c r="P32" s="124">
        <f>P15+P26+P30</f>
        <v>1529.4517049999999</v>
      </c>
      <c r="Q32" s="125">
        <f>Q15+Q26+Q30</f>
        <v>27.377972</v>
      </c>
      <c r="R32" s="124">
        <f>R15+R26+R30</f>
        <v>153.52909499999998</v>
      </c>
      <c r="S32" s="125">
        <f>S15+S26+S30</f>
        <v>-1.201711</v>
      </c>
    </row>
    <row r="33" spans="1:14" s="80" customFormat="1" ht="17.25" customHeight="1" thickTop="1" x14ac:dyDescent="0.25">
      <c r="A33" s="126" t="s">
        <v>70</v>
      </c>
      <c r="B33" s="126"/>
      <c r="C33" s="126"/>
      <c r="D33" s="126"/>
      <c r="E33" s="126"/>
      <c r="F33" s="126"/>
      <c r="G33" s="126"/>
      <c r="H33" s="126"/>
      <c r="I33" s="126"/>
      <c r="J33" s="126"/>
      <c r="K33" s="126"/>
      <c r="L33" s="126"/>
      <c r="M33" s="127">
        <f>ROUND(SUMIFS(IN!$G$2:$G$5001,IN!$J$2:$J$5001,"Received")-SUM(OUT!$F$14:$F$5084)-M32,6)</f>
        <v>0</v>
      </c>
      <c r="N33" s="81"/>
    </row>
    <row r="34" spans="1:14" s="80" customFormat="1" ht="16.5" customHeight="1" x14ac:dyDescent="0.25">
      <c r="A34" s="126" t="s">
        <v>71</v>
      </c>
      <c r="B34" s="126"/>
      <c r="C34" s="126"/>
      <c r="D34" s="126"/>
      <c r="E34" s="126"/>
      <c r="F34" s="126"/>
      <c r="G34" s="126"/>
      <c r="H34" s="126"/>
      <c r="I34" s="126"/>
      <c r="J34" s="126"/>
      <c r="K34" s="126"/>
      <c r="L34" s="126"/>
      <c r="M34" s="127">
        <f>ROUND(M32-SUMMARY!F22,6)</f>
        <v>0</v>
      </c>
      <c r="N34" s="81"/>
    </row>
    <row r="35" spans="1:14" x14ac:dyDescent="0.25">
      <c r="A35" s="126" t="s">
        <v>72</v>
      </c>
      <c r="C35" s="285">
        <v>46305</v>
      </c>
      <c r="M35" s="286">
        <f>SUMPRODUCT((OUT!$L$14:$L$5084="Adjustment")*(OUT!$B$14:$B$5084&gt;=$C$35)*(((OUT!$N$14:$N$5084&lt;&gt;"")*(COUNTIF(OUT!$A$14:$A$5084,OUT!$N$14:$N$5084)&gt;0)+((COUNTIFS('OPNAME LOG'!$A$2:$A$1000,OUT!$B$14:$B$5084,'OPNAME LOG'!$B$2:$B$1000,"Jati",'OPNAME LOG'!$C$2:$C$1000,OUT!$D$14:$D$5084)*(OUT!$C$14:$C$5084="Teak")+COUNTIFS('OPNAME LOG'!$A$2:$A$1000,OUT!$B$14:$B$5084,'OPNAME LOG'!$B$2:$B$1000,"Sungkai",'OPNAME LOG'!$C$2:$C$1000,OUT!$D$14:$D$5084)*(OUT!$C$14:$C$5084="Sungkai")+COUNTIFS('OPNAME LOG'!$A$2:$A$1000,OUT!$B$14:$B$5084,'OPNAME LOG'!$B$2:$B$1000,"Pinus",'OPNAME LOG'!$C$2:$C$1000,OUT!$D$14:$D$5084)*(OUT!$C$14:$C$5084="Pine"))&gt;0))=0))</f>
        <v>0</v>
      </c>
    </row>
    <row r="36" spans="1:14" x14ac:dyDescent="0.25">
      <c r="A36" s="126" t="s">
        <v>73</v>
      </c>
      <c r="C36" s="285">
        <f>C35</f>
        <v>46305</v>
      </c>
      <c r="M36" s="286">
        <f>COUNTIFS(OUT!$L$14:$L$5084,"Adjustment",OUT!$B$14:$B$5084,"&gt;="&amp;$C$35)</f>
        <v>0</v>
      </c>
    </row>
  </sheetData>
  <sheetProtection password="EEC9" sheet="1" formatColumns="0" formatRows="0"/>
  <mergeCells count="12">
    <mergeCell ref="A3:A4"/>
    <mergeCell ref="B3:B4"/>
    <mergeCell ref="O3:O4"/>
    <mergeCell ref="N3:N4"/>
    <mergeCell ref="R3:S3"/>
    <mergeCell ref="D3:E3"/>
    <mergeCell ref="H3:I3"/>
    <mergeCell ref="F3:G3"/>
    <mergeCell ref="L3:M3"/>
    <mergeCell ref="J3:K3"/>
    <mergeCell ref="P3:Q3"/>
    <mergeCell ref="C3:C4"/>
  </mergeCells>
  <printOptions horizontalCentered="1"/>
  <pageMargins left="0.25" right="0.25" top="0.75" bottom="0.75" header="0.3" footer="0.3"/>
  <pageSetup scale="93"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4"/>
  <sheetViews>
    <sheetView workbookViewId="0">
      <pane xSplit="4" ySplit="4" topLeftCell="E5" activePane="bottomRight" state="frozen"/>
      <selection pane="topRight"/>
      <selection pane="bottomLeft"/>
      <selection pane="bottomRight"/>
    </sheetView>
  </sheetViews>
  <sheetFormatPr defaultRowHeight="15" x14ac:dyDescent="0.25"/>
  <cols>
    <col min="1" max="1" width="13" customWidth="1"/>
    <col min="2" max="2" width="10" customWidth="1"/>
    <col min="3" max="3" width="11" customWidth="1"/>
    <col min="4" max="4" width="12" customWidth="1"/>
    <col min="5" max="19" width="11" customWidth="1"/>
  </cols>
  <sheetData>
    <row r="1" spans="1:19" ht="17.25" x14ac:dyDescent="0.3">
      <c r="A1" s="287" t="s">
        <v>0</v>
      </c>
    </row>
    <row r="3" spans="1:19" x14ac:dyDescent="0.25">
      <c r="A3" s="305" t="s">
        <v>1</v>
      </c>
      <c r="B3" s="305" t="s">
        <v>2</v>
      </c>
      <c r="C3" s="305" t="s">
        <v>3</v>
      </c>
      <c r="D3" s="305" t="s">
        <v>4</v>
      </c>
      <c r="E3" s="305" t="s">
        <v>5</v>
      </c>
      <c r="F3" s="306"/>
      <c r="G3" s="306"/>
      <c r="H3" s="306"/>
      <c r="I3" s="307"/>
      <c r="J3" s="305" t="s">
        <v>6</v>
      </c>
      <c r="K3" s="306"/>
      <c r="L3" s="306"/>
      <c r="M3" s="306"/>
      <c r="N3" s="307"/>
      <c r="O3" s="305" t="s">
        <v>7</v>
      </c>
      <c r="P3" s="306"/>
      <c r="Q3" s="306"/>
      <c r="R3" s="306"/>
      <c r="S3" s="307"/>
    </row>
    <row r="4" spans="1:19" x14ac:dyDescent="0.25">
      <c r="A4" s="308"/>
      <c r="B4" s="308"/>
      <c r="C4" s="308"/>
      <c r="D4" s="308"/>
      <c r="E4" s="289" t="s">
        <v>8</v>
      </c>
      <c r="F4" s="289" t="s">
        <v>9</v>
      </c>
      <c r="G4" s="289" t="s">
        <v>10</v>
      </c>
      <c r="H4" s="289" t="s">
        <v>11</v>
      </c>
      <c r="I4" s="289" t="s">
        <v>12</v>
      </c>
      <c r="J4" s="289" t="s">
        <v>8</v>
      </c>
      <c r="K4" s="289" t="s">
        <v>9</v>
      </c>
      <c r="L4" s="289" t="s">
        <v>10</v>
      </c>
      <c r="M4" s="289" t="s">
        <v>11</v>
      </c>
      <c r="N4" s="289" t="s">
        <v>12</v>
      </c>
      <c r="O4" s="289" t="s">
        <v>8</v>
      </c>
      <c r="P4" s="289" t="s">
        <v>9</v>
      </c>
      <c r="Q4" s="289" t="s">
        <v>10</v>
      </c>
      <c r="R4" s="289" t="s">
        <v>11</v>
      </c>
      <c r="S4" s="289" t="s">
        <v>12</v>
      </c>
    </row>
    <row r="5" spans="1:19" x14ac:dyDescent="0.25">
      <c r="A5" s="290" t="s">
        <v>13</v>
      </c>
      <c r="B5" s="290">
        <v>2</v>
      </c>
      <c r="C5" s="291">
        <v>46310</v>
      </c>
      <c r="D5" s="292">
        <f>SUMIFS('LAPORAN OPERATION'!$F$2:$F$1000,'LAPORAN OPERATION'!$A$2:$A$1000,DATE(2026,10,14),'LAPORAN OPERATION'!$B$2:$B$1000,"Count",'LAPORAN OPERATION'!$C$2:$C$1000,IF($A5="Pine","Pinus",$A5),'LAPORAN OPERATION'!$D$2:$D$1000,$B5)+SUMIFS('LAPORAN OPERATION'!$F$2:$F$1000,'LAPORAN OPERATION'!$A$2:$A$1000,DATE(2026,10,14),'LAPORAN OPERATION'!$B$2:$B$1000,"Count",'LAPORAN OPERATION'!$C$2:$C$1000,IF($A5="Pine","Pinus",$A5),'LAPORAN OPERATION'!$D$2:$D$1000,$B5&amp;" (Grade A)")</f>
        <v>2.135999999999999E-2</v>
      </c>
      <c r="E5" s="292">
        <f>SUMIFS(INCOMING!$F$2:$F$5000,INCOMING!$C$2:$C$5000,$A5,INCOMING!$D$2:$D$5000,$B5,INCOMING!$B$2:$B$5000,"&gt;="&amp;$C5,INCOMING!$B$2:$B$5000,"&lt;="&amp;DATE(2026,10,17))</f>
        <v>0</v>
      </c>
      <c r="F5" s="292">
        <f>SUMIFS(OUT!$F$14:$F$5084,OUT!$C$14:$C$5084,$A5,OUT!$D$14:$D$5084,$B5,OUT!$B$14:$B$5084,"&gt;="&amp;$C5,OUT!$B$14:$B$5084,"&lt;="&amp;DATE(2026,10,17),OUT!$L$14:$L$5084,"&lt;&gt;Adjustment")</f>
        <v>1.4E-2</v>
      </c>
      <c r="G5" s="292">
        <f t="shared" ref="G5:G14" si="0">D5+E5-F5</f>
        <v>7.3599999999999898E-3</v>
      </c>
      <c r="H5" s="292">
        <f>SUMIFS('LAPORAN OPERATION'!$F$2:$F$1000,'LAPORAN OPERATION'!$A$2:$A$1000,DATE(2026,10,17),'LAPORAN OPERATION'!$B$2:$B$1000,"Balance",'LAPORAN OPERATION'!$C$2:$C$1000,IF($A5="Pine","Pinus",$A5),'LAPORAN OPERATION'!$D$2:$D$1000,$B5)+SUMIFS('LAPORAN OPERATION'!$F$2:$F$1000,'LAPORAN OPERATION'!$A$2:$A$1000,DATE(2026,10,17),'LAPORAN OPERATION'!$B$2:$B$1000,"Balance",'LAPORAN OPERATION'!$C$2:$C$1000,IF($A5="Pine","Pinus",$A5),'LAPORAN OPERATION'!$D$2:$D$1000,$B5&amp;" (Grade A)")</f>
        <v>2.135999999999999E-2</v>
      </c>
      <c r="I5" s="293">
        <f t="shared" ref="I5:I14" si="1">ROUND(G5-H5,6)</f>
        <v>-1.4E-2</v>
      </c>
      <c r="J5" s="292">
        <f>SUMIFS(INCOMING!$F$2:$F$5000,INCOMING!$C$2:$C$5000,$A5,INCOMING!$D$2:$D$5000,$B5,INCOMING!$B$2:$B$5000,"&gt;="&amp;DATE(2026,10,18),INCOMING!$B$2:$B$5000,"&lt;="&amp;DATE(2026,10,21))</f>
        <v>0</v>
      </c>
      <c r="K5" s="292">
        <f>SUMIFS(OUT!$F$14:$F$5084,OUT!$C$14:$C$5084,$A5,OUT!$D$14:$D$5084,$B5,OUT!$B$14:$B$5084,"&gt;="&amp;DATE(2026,10,18),OUT!$B$14:$B$5084,"&lt;="&amp;DATE(2026,10,21),OUT!$L$14:$L$5084,"&lt;&gt;Adjustment")</f>
        <v>0</v>
      </c>
      <c r="L5" s="292">
        <f t="shared" ref="L5:L14" si="2">G5+J5-K5</f>
        <v>7.3599999999999898E-3</v>
      </c>
      <c r="M5" s="292">
        <f>SUMIFS('LAPORAN OPERATION'!$F$2:$F$1000,'LAPORAN OPERATION'!$A$2:$A$1000,DATE(2026,10,21),'LAPORAN OPERATION'!$B$2:$B$1000,"Balance",'LAPORAN OPERATION'!$C$2:$C$1000,IF($A5="Pine","Pinus",$A5),'LAPORAN OPERATION'!$D$2:$D$1000,$B5)+SUMIFS('LAPORAN OPERATION'!$F$2:$F$1000,'LAPORAN OPERATION'!$A$2:$A$1000,DATE(2026,10,21),'LAPORAN OPERATION'!$B$2:$B$1000,"Balance",'LAPORAN OPERATION'!$C$2:$C$1000,IF($A5="Pine","Pinus",$A5),'LAPORAN OPERATION'!$D$2:$D$1000,$B5&amp;" (Grade A)")</f>
        <v>7.3599999999999898E-3</v>
      </c>
      <c r="N5" s="293">
        <f t="shared" ref="N5:N14" si="3">ROUND(L5-M5,6)</f>
        <v>0</v>
      </c>
      <c r="O5" s="292">
        <f>SUMIFS(INCOMING!$F$2:$F$5000,INCOMING!$C$2:$C$5000,$A5,INCOMING!$D$2:$D$5000,$B5,INCOMING!$B$2:$B$5000,"&gt;="&amp;DATE(2026,10,22),INCOMING!$B$2:$B$5000,"&lt;="&amp;DATE(2026,10,24))</f>
        <v>0</v>
      </c>
      <c r="P5" s="292">
        <f>SUMIFS(OUT!$F$14:$F$5084,OUT!$C$14:$C$5084,$A5,OUT!$D$14:$D$5084,$B5,OUT!$B$14:$B$5084,"&gt;="&amp;DATE(2026,10,22),OUT!$B$14:$B$5084,"&lt;="&amp;DATE(2026,10,24),OUT!$L$14:$L$5084,"&lt;&gt;Adjustment")</f>
        <v>0</v>
      </c>
      <c r="Q5" s="292">
        <f t="shared" ref="Q5:Q14" si="4">L5+O5-P5</f>
        <v>7.3599999999999898E-3</v>
      </c>
      <c r="R5" s="292">
        <f>SUMIFS('LAPORAN OPERATION'!$F$2:$F$1000,'LAPORAN OPERATION'!$A$2:$A$1000,DATE(2026,10,24),'LAPORAN OPERATION'!$B$2:$B$1000,"Count",'LAPORAN OPERATION'!$C$2:$C$1000,IF($A5="Pine","Pinus",$A5),'LAPORAN OPERATION'!$D$2:$D$1000,$B5)+SUMIFS('LAPORAN OPERATION'!$F$2:$F$1000,'LAPORAN OPERATION'!$A$2:$A$1000,DATE(2026,10,24),'LAPORAN OPERATION'!$B$2:$B$1000,"Count",'LAPORAN OPERATION'!$C$2:$C$1000,IF($A5="Pine","Pinus",$A5),'LAPORAN OPERATION'!$D$2:$D$1000,$B5&amp;" (Grade A)")</f>
        <v>7.3599999999999898E-3</v>
      </c>
      <c r="S5" s="293">
        <f t="shared" ref="S5:S14" si="5">ROUND(Q5-R5,6)</f>
        <v>0</v>
      </c>
    </row>
    <row r="6" spans="1:19" x14ac:dyDescent="0.25">
      <c r="A6" s="290" t="s">
        <v>13</v>
      </c>
      <c r="B6" s="290">
        <v>3</v>
      </c>
      <c r="C6" s="291">
        <v>46310</v>
      </c>
      <c r="D6" s="292">
        <f>SUMIFS('LAPORAN OPERATION'!$F$2:$F$1000,'LAPORAN OPERATION'!$A$2:$A$1000,DATE(2026,10,14),'LAPORAN OPERATION'!$B$2:$B$1000,"Count",'LAPORAN OPERATION'!$C$2:$C$1000,IF($A6="Pine","Pinus",$A6),'LAPORAN OPERATION'!$D$2:$D$1000,$B6)+SUMIFS('LAPORAN OPERATION'!$F$2:$F$1000,'LAPORAN OPERATION'!$A$2:$A$1000,DATE(2026,10,14),'LAPORAN OPERATION'!$B$2:$B$1000,"Count",'LAPORAN OPERATION'!$C$2:$C$1000,IF($A6="Pine","Pinus",$A6),'LAPORAN OPERATION'!$D$2:$D$1000,$B6&amp;" (Grade A)")</f>
        <v>1.0200000000000001E-2</v>
      </c>
      <c r="E6" s="292">
        <f>SUMIFS(INCOMING!$F$2:$F$5000,INCOMING!$C$2:$C$5000,$A6,INCOMING!$D$2:$D$5000,$B6,INCOMING!$B$2:$B$5000,"&gt;="&amp;$C6,INCOMING!$B$2:$B$5000,"&lt;="&amp;DATE(2026,10,17))</f>
        <v>0</v>
      </c>
      <c r="F6" s="292">
        <f>SUMIFS(OUT!$F$14:$F$5084,OUT!$C$14:$C$5084,$A6,OUT!$D$14:$D$5084,$B6,OUT!$B$14:$B$5084,"&gt;="&amp;$C6,OUT!$B$14:$B$5084,"&lt;="&amp;DATE(2026,10,17),OUT!$L$14:$L$5084,"&lt;&gt;Adjustment")</f>
        <v>1.9199999999999998E-2</v>
      </c>
      <c r="G6" s="292">
        <f t="shared" si="0"/>
        <v>-8.9999999999999976E-3</v>
      </c>
      <c r="H6" s="292">
        <f>SUMIFS('LAPORAN OPERATION'!$F$2:$F$1000,'LAPORAN OPERATION'!$A$2:$A$1000,DATE(2026,10,17),'LAPORAN OPERATION'!$B$2:$B$1000,"Balance",'LAPORAN OPERATION'!$C$2:$C$1000,IF($A6="Pine","Pinus",$A6),'LAPORAN OPERATION'!$D$2:$D$1000,$B6)+SUMIFS('LAPORAN OPERATION'!$F$2:$F$1000,'LAPORAN OPERATION'!$A$2:$A$1000,DATE(2026,10,17),'LAPORAN OPERATION'!$B$2:$B$1000,"Balance",'LAPORAN OPERATION'!$C$2:$C$1000,IF($A6="Pine","Pinus",$A6),'LAPORAN OPERATION'!$D$2:$D$1000,$B6&amp;" (Grade A)")</f>
        <v>1.0200000000000001E-2</v>
      </c>
      <c r="I6" s="293">
        <f t="shared" si="1"/>
        <v>-1.9199999999999998E-2</v>
      </c>
      <c r="J6" s="292">
        <f>SUMIFS(INCOMING!$F$2:$F$5000,INCOMING!$C$2:$C$5000,$A6,INCOMING!$D$2:$D$5000,$B6,INCOMING!$B$2:$B$5000,"&gt;="&amp;DATE(2026,10,18),INCOMING!$B$2:$B$5000,"&lt;="&amp;DATE(2026,10,21))</f>
        <v>0</v>
      </c>
      <c r="K6" s="292">
        <f>SUMIFS(OUT!$F$14:$F$5084,OUT!$C$14:$C$5084,$A6,OUT!$D$14:$D$5084,$B6,OUT!$B$14:$B$5084,"&gt;="&amp;DATE(2026,10,18),OUT!$B$14:$B$5084,"&lt;="&amp;DATE(2026,10,21),OUT!$L$14:$L$5084,"&lt;&gt;Adjustment")</f>
        <v>0</v>
      </c>
      <c r="L6" s="292">
        <f t="shared" si="2"/>
        <v>-8.9999999999999976E-3</v>
      </c>
      <c r="M6" s="292">
        <f>SUMIFS('LAPORAN OPERATION'!$F$2:$F$1000,'LAPORAN OPERATION'!$A$2:$A$1000,DATE(2026,10,21),'LAPORAN OPERATION'!$B$2:$B$1000,"Balance",'LAPORAN OPERATION'!$C$2:$C$1000,IF($A6="Pine","Pinus",$A6),'LAPORAN OPERATION'!$D$2:$D$1000,$B6)+SUMIFS('LAPORAN OPERATION'!$F$2:$F$1000,'LAPORAN OPERATION'!$A$2:$A$1000,DATE(2026,10,21),'LAPORAN OPERATION'!$B$2:$B$1000,"Balance",'LAPORAN OPERATION'!$C$2:$C$1000,IF($A6="Pine","Pinus",$A6),'LAPORAN OPERATION'!$D$2:$D$1000,$B6&amp;" (Grade A)")</f>
        <v>1.0200000000000001E-2</v>
      </c>
      <c r="N6" s="293">
        <f t="shared" si="3"/>
        <v>-1.9199999999999998E-2</v>
      </c>
      <c r="O6" s="292">
        <f>SUMIFS(INCOMING!$F$2:$F$5000,INCOMING!$C$2:$C$5000,$A6,INCOMING!$D$2:$D$5000,$B6,INCOMING!$B$2:$B$5000,"&gt;="&amp;DATE(2026,10,22),INCOMING!$B$2:$B$5000,"&lt;="&amp;DATE(2026,10,24))</f>
        <v>0</v>
      </c>
      <c r="P6" s="292">
        <f>SUMIFS(OUT!$F$14:$F$5084,OUT!$C$14:$C$5084,$A6,OUT!$D$14:$D$5084,$B6,OUT!$B$14:$B$5084,"&gt;="&amp;DATE(2026,10,22),OUT!$B$14:$B$5084,"&lt;="&amp;DATE(2026,10,24),OUT!$L$14:$L$5084,"&lt;&gt;Adjustment")</f>
        <v>0</v>
      </c>
      <c r="Q6" s="292">
        <f t="shared" si="4"/>
        <v>-8.9999999999999976E-3</v>
      </c>
      <c r="R6" s="292">
        <f>SUMIFS('LAPORAN OPERATION'!$F$2:$F$1000,'LAPORAN OPERATION'!$A$2:$A$1000,DATE(2026,10,24),'LAPORAN OPERATION'!$B$2:$B$1000,"Count",'LAPORAN OPERATION'!$C$2:$C$1000,IF($A6="Pine","Pinus",$A6),'LAPORAN OPERATION'!$D$2:$D$1000,$B6)+SUMIFS('LAPORAN OPERATION'!$F$2:$F$1000,'LAPORAN OPERATION'!$A$2:$A$1000,DATE(2026,10,24),'LAPORAN OPERATION'!$B$2:$B$1000,"Count",'LAPORAN OPERATION'!$C$2:$C$1000,IF($A6="Pine","Pinus",$A6),'LAPORAN OPERATION'!$D$2:$D$1000,$B6&amp;" (Grade A)")</f>
        <v>1.0200000000000001E-2</v>
      </c>
      <c r="S6" s="293">
        <f t="shared" si="5"/>
        <v>-1.9199999999999998E-2</v>
      </c>
    </row>
    <row r="7" spans="1:19" x14ac:dyDescent="0.25">
      <c r="A7" s="290" t="s">
        <v>13</v>
      </c>
      <c r="B7" s="290">
        <v>3.5</v>
      </c>
      <c r="C7" s="291">
        <v>46310</v>
      </c>
      <c r="D7" s="292">
        <f>SUMIFS('LAPORAN OPERATION'!$F$2:$F$1000,'LAPORAN OPERATION'!$A$2:$A$1000,DATE(2026,10,14),'LAPORAN OPERATION'!$B$2:$B$1000,"Count",'LAPORAN OPERATION'!$C$2:$C$1000,IF($A7="Pine","Pinus",$A7),'LAPORAN OPERATION'!$D$2:$D$1000,$B7)+SUMIFS('LAPORAN OPERATION'!$F$2:$F$1000,'LAPORAN OPERATION'!$A$2:$A$1000,DATE(2026,10,14),'LAPORAN OPERATION'!$B$2:$B$1000,"Count",'LAPORAN OPERATION'!$C$2:$C$1000,IF($A7="Pine","Pinus",$A7),'LAPORAN OPERATION'!$D$2:$D$1000,$B7&amp;" (Grade A)")</f>
        <v>1.039464999999999</v>
      </c>
      <c r="E7" s="292">
        <f>SUMIFS(INCOMING!$F$2:$F$5000,INCOMING!$C$2:$C$5000,$A7,INCOMING!$D$2:$D$5000,$B7,INCOMING!$B$2:$B$5000,"&gt;="&amp;$C7,INCOMING!$B$2:$B$5000,"&lt;="&amp;DATE(2026,10,17))</f>
        <v>0</v>
      </c>
      <c r="F7" s="292">
        <f>SUMIFS(OUT!$F$14:$F$5084,OUT!$C$14:$C$5084,$A7,OUT!$D$14:$D$5084,$B7,OUT!$B$14:$B$5084,"&gt;="&amp;$C7,OUT!$B$14:$B$5084,"&lt;="&amp;DATE(2026,10,17),OUT!$L$14:$L$5084,"&lt;&gt;Adjustment")</f>
        <v>0.86516499999999996</v>
      </c>
      <c r="G7" s="292">
        <f t="shared" si="0"/>
        <v>0.17429999999999901</v>
      </c>
      <c r="H7" s="292">
        <f>SUMIFS('LAPORAN OPERATION'!$F$2:$F$1000,'LAPORAN OPERATION'!$A$2:$A$1000,DATE(2026,10,17),'LAPORAN OPERATION'!$B$2:$B$1000,"Balance",'LAPORAN OPERATION'!$C$2:$C$1000,IF($A7="Pine","Pinus",$A7),'LAPORAN OPERATION'!$D$2:$D$1000,$B7)+SUMIFS('LAPORAN OPERATION'!$F$2:$F$1000,'LAPORAN OPERATION'!$A$2:$A$1000,DATE(2026,10,17),'LAPORAN OPERATION'!$B$2:$B$1000,"Balance",'LAPORAN OPERATION'!$C$2:$C$1000,IF($A7="Pine","Pinus",$A7),'LAPORAN OPERATION'!$D$2:$D$1000,$B7&amp;" (Grade A)")</f>
        <v>0.81511499999999915</v>
      </c>
      <c r="I7" s="293">
        <f t="shared" si="1"/>
        <v>-0.64081500000000002</v>
      </c>
      <c r="J7" s="292">
        <f>SUMIFS(INCOMING!$F$2:$F$5000,INCOMING!$C$2:$C$5000,$A7,INCOMING!$D$2:$D$5000,$B7,INCOMING!$B$2:$B$5000,"&gt;="&amp;DATE(2026,10,18),INCOMING!$B$2:$B$5000,"&lt;="&amp;DATE(2026,10,21))</f>
        <v>1.8943049999999999</v>
      </c>
      <c r="K7" s="292">
        <f>SUMIFS(OUT!$F$14:$F$5084,OUT!$C$14:$C$5084,$A7,OUT!$D$14:$D$5084,$B7,OUT!$B$14:$B$5084,"&gt;="&amp;DATE(2026,10,18),OUT!$B$14:$B$5084,"&lt;="&amp;DATE(2026,10,21),OUT!$L$14:$L$5084,"&lt;&gt;Adjustment")</f>
        <v>0.25914000000000004</v>
      </c>
      <c r="L7" s="292">
        <f t="shared" si="2"/>
        <v>1.809464999999999</v>
      </c>
      <c r="M7" s="292">
        <f>SUMIFS('LAPORAN OPERATION'!$F$2:$F$1000,'LAPORAN OPERATION'!$A$2:$A$1000,DATE(2026,10,21),'LAPORAN OPERATION'!$B$2:$B$1000,"Balance",'LAPORAN OPERATION'!$C$2:$C$1000,IF($A7="Pine","Pinus",$A7),'LAPORAN OPERATION'!$D$2:$D$1000,$B7)+SUMIFS('LAPORAN OPERATION'!$F$2:$F$1000,'LAPORAN OPERATION'!$A$2:$A$1000,DATE(2026,10,21),'LAPORAN OPERATION'!$B$2:$B$1000,"Balance",'LAPORAN OPERATION'!$C$2:$C$1000,IF($A7="Pine","Pinus",$A7),'LAPORAN OPERATION'!$D$2:$D$1000,$B7&amp;" (Grade A)")</f>
        <v>1.635165</v>
      </c>
      <c r="N7" s="293">
        <f t="shared" si="3"/>
        <v>0.17430000000000001</v>
      </c>
      <c r="O7" s="292">
        <f>SUMIFS(INCOMING!$F$2:$F$5000,INCOMING!$C$2:$C$5000,$A7,INCOMING!$D$2:$D$5000,$B7,INCOMING!$B$2:$B$5000,"&gt;="&amp;DATE(2026,10,22),INCOMING!$B$2:$B$5000,"&lt;="&amp;DATE(2026,10,24))</f>
        <v>1.0597650000000001</v>
      </c>
      <c r="P7" s="292">
        <f>SUMIFS(OUT!$F$14:$F$5084,OUT!$C$14:$C$5084,$A7,OUT!$D$14:$D$5084,$B7,OUT!$B$14:$B$5084,"&gt;="&amp;DATE(2026,10,22),OUT!$B$14:$B$5084,"&lt;="&amp;DATE(2026,10,24),OUT!$L$14:$L$5084,"&lt;&gt;Adjustment")</f>
        <v>0.61571999999999993</v>
      </c>
      <c r="Q7" s="292">
        <f t="shared" si="4"/>
        <v>2.253509999999999</v>
      </c>
      <c r="R7" s="292">
        <f>SUMIFS('LAPORAN OPERATION'!$F$2:$F$1000,'LAPORAN OPERATION'!$A$2:$A$1000,DATE(2026,10,24),'LAPORAN OPERATION'!$B$2:$B$1000,"Count",'LAPORAN OPERATION'!$C$2:$C$1000,IF($A7="Pine","Pinus",$A7),'LAPORAN OPERATION'!$D$2:$D$1000,$B7)+SUMIFS('LAPORAN OPERATION'!$F$2:$F$1000,'LAPORAN OPERATION'!$A$2:$A$1000,DATE(2026,10,24),'LAPORAN OPERATION'!$B$2:$B$1000,"Count",'LAPORAN OPERATION'!$C$2:$C$1000,IF($A7="Pine","Pinus",$A7),'LAPORAN OPERATION'!$D$2:$D$1000,$B7&amp;" (Grade A)")</f>
        <v>2.13171</v>
      </c>
      <c r="S7" s="293">
        <f t="shared" si="5"/>
        <v>0.12180000000000001</v>
      </c>
    </row>
    <row r="8" spans="1:19" x14ac:dyDescent="0.25">
      <c r="A8" s="290" t="s">
        <v>13</v>
      </c>
      <c r="B8" s="290">
        <v>4</v>
      </c>
      <c r="C8" s="291">
        <v>46310</v>
      </c>
      <c r="D8" s="292">
        <f>SUMIFS('LAPORAN OPERATION'!$F$2:$F$1000,'LAPORAN OPERATION'!$A$2:$A$1000,DATE(2026,10,14),'LAPORAN OPERATION'!$B$2:$B$1000,"Count",'LAPORAN OPERATION'!$C$2:$C$1000,IF($A8="Pine","Pinus",$A8),'LAPORAN OPERATION'!$D$2:$D$1000,$B8)+SUMIFS('LAPORAN OPERATION'!$F$2:$F$1000,'LAPORAN OPERATION'!$A$2:$A$1000,DATE(2026,10,14),'LAPORAN OPERATION'!$B$2:$B$1000,"Count",'LAPORAN OPERATION'!$C$2:$C$1000,IF($A8="Pine","Pinus",$A8),'LAPORAN OPERATION'!$D$2:$D$1000,$B8&amp;" (Grade A)")</f>
        <v>1.44E-2</v>
      </c>
      <c r="E8" s="292">
        <f>SUMIFS(INCOMING!$F$2:$F$5000,INCOMING!$C$2:$C$5000,$A8,INCOMING!$D$2:$D$5000,$B8,INCOMING!$B$2:$B$5000,"&gt;="&amp;$C8,INCOMING!$B$2:$B$5000,"&lt;="&amp;DATE(2026,10,17))</f>
        <v>0</v>
      </c>
      <c r="F8" s="292">
        <f>SUMIFS(OUT!$F$14:$F$5084,OUT!$C$14:$C$5084,$A8,OUT!$D$14:$D$5084,$B8,OUT!$B$14:$B$5084,"&gt;="&amp;$C8,OUT!$B$14:$B$5084,"&lt;="&amp;DATE(2026,10,17),OUT!$L$14:$L$5084,"&lt;&gt;Adjustment")</f>
        <v>0</v>
      </c>
      <c r="G8" s="292">
        <f t="shared" si="0"/>
        <v>1.44E-2</v>
      </c>
      <c r="H8" s="292">
        <f>SUMIFS('LAPORAN OPERATION'!$F$2:$F$1000,'LAPORAN OPERATION'!$A$2:$A$1000,DATE(2026,10,17),'LAPORAN OPERATION'!$B$2:$B$1000,"Balance",'LAPORAN OPERATION'!$C$2:$C$1000,IF($A8="Pine","Pinus",$A8),'LAPORAN OPERATION'!$D$2:$D$1000,$B8)+SUMIFS('LAPORAN OPERATION'!$F$2:$F$1000,'LAPORAN OPERATION'!$A$2:$A$1000,DATE(2026,10,17),'LAPORAN OPERATION'!$B$2:$B$1000,"Balance",'LAPORAN OPERATION'!$C$2:$C$1000,IF($A8="Pine","Pinus",$A8),'LAPORAN OPERATION'!$D$2:$D$1000,$B8&amp;" (Grade A)")</f>
        <v>1.44E-2</v>
      </c>
      <c r="I8" s="293">
        <f t="shared" si="1"/>
        <v>0</v>
      </c>
      <c r="J8" s="292">
        <f>SUMIFS(INCOMING!$F$2:$F$5000,INCOMING!$C$2:$C$5000,$A8,INCOMING!$D$2:$D$5000,$B8,INCOMING!$B$2:$B$5000,"&gt;="&amp;DATE(2026,10,18),INCOMING!$B$2:$B$5000,"&lt;="&amp;DATE(2026,10,21))</f>
        <v>0</v>
      </c>
      <c r="K8" s="292">
        <f>SUMIFS(OUT!$F$14:$F$5084,OUT!$C$14:$C$5084,$A8,OUT!$D$14:$D$5084,$B8,OUT!$B$14:$B$5084,"&gt;="&amp;DATE(2026,10,18),OUT!$B$14:$B$5084,"&lt;="&amp;DATE(2026,10,21),OUT!$L$14:$L$5084,"&lt;&gt;Adjustment")</f>
        <v>0</v>
      </c>
      <c r="L8" s="292">
        <f t="shared" si="2"/>
        <v>1.44E-2</v>
      </c>
      <c r="M8" s="292">
        <f>SUMIFS('LAPORAN OPERATION'!$F$2:$F$1000,'LAPORAN OPERATION'!$A$2:$A$1000,DATE(2026,10,21),'LAPORAN OPERATION'!$B$2:$B$1000,"Balance",'LAPORAN OPERATION'!$C$2:$C$1000,IF($A8="Pine","Pinus",$A8),'LAPORAN OPERATION'!$D$2:$D$1000,$B8)+SUMIFS('LAPORAN OPERATION'!$F$2:$F$1000,'LAPORAN OPERATION'!$A$2:$A$1000,DATE(2026,10,21),'LAPORAN OPERATION'!$B$2:$B$1000,"Balance",'LAPORAN OPERATION'!$C$2:$C$1000,IF($A8="Pine","Pinus",$A8),'LAPORAN OPERATION'!$D$2:$D$1000,$B8&amp;" (Grade A)")</f>
        <v>1.44E-2</v>
      </c>
      <c r="N8" s="293">
        <f t="shared" si="3"/>
        <v>0</v>
      </c>
      <c r="O8" s="292">
        <f>SUMIFS(INCOMING!$F$2:$F$5000,INCOMING!$C$2:$C$5000,$A8,INCOMING!$D$2:$D$5000,$B8,INCOMING!$B$2:$B$5000,"&gt;="&amp;DATE(2026,10,22),INCOMING!$B$2:$B$5000,"&lt;="&amp;DATE(2026,10,24))</f>
        <v>0</v>
      </c>
      <c r="P8" s="292">
        <f>SUMIFS(OUT!$F$14:$F$5084,OUT!$C$14:$C$5084,$A8,OUT!$D$14:$D$5084,$B8,OUT!$B$14:$B$5084,"&gt;="&amp;DATE(2026,10,22),OUT!$B$14:$B$5084,"&lt;="&amp;DATE(2026,10,24),OUT!$L$14:$L$5084,"&lt;&gt;Adjustment")</f>
        <v>0</v>
      </c>
      <c r="Q8" s="292">
        <f t="shared" si="4"/>
        <v>1.44E-2</v>
      </c>
      <c r="R8" s="292">
        <f>SUMIFS('LAPORAN OPERATION'!$F$2:$F$1000,'LAPORAN OPERATION'!$A$2:$A$1000,DATE(2026,10,24),'LAPORAN OPERATION'!$B$2:$B$1000,"Count",'LAPORAN OPERATION'!$C$2:$C$1000,IF($A8="Pine","Pinus",$A8),'LAPORAN OPERATION'!$D$2:$D$1000,$B8)+SUMIFS('LAPORAN OPERATION'!$F$2:$F$1000,'LAPORAN OPERATION'!$A$2:$A$1000,DATE(2026,10,24),'LAPORAN OPERATION'!$B$2:$B$1000,"Count",'LAPORAN OPERATION'!$C$2:$C$1000,IF($A8="Pine","Pinus",$A8),'LAPORAN OPERATION'!$D$2:$D$1000,$B8&amp;" (Grade A)")</f>
        <v>1.44E-2</v>
      </c>
      <c r="S8" s="293">
        <f t="shared" si="5"/>
        <v>0</v>
      </c>
    </row>
    <row r="9" spans="1:19" x14ac:dyDescent="0.25">
      <c r="A9" s="290" t="s">
        <v>13</v>
      </c>
      <c r="B9" s="290">
        <v>4.5</v>
      </c>
      <c r="C9" s="291">
        <v>46310</v>
      </c>
      <c r="D9" s="292">
        <f>SUMIFS('LAPORAN OPERATION'!$F$2:$F$1000,'LAPORAN OPERATION'!$A$2:$A$1000,DATE(2026,10,14),'LAPORAN OPERATION'!$B$2:$B$1000,"Count",'LAPORAN OPERATION'!$C$2:$C$1000,IF($A9="Pine","Pinus",$A9),'LAPORAN OPERATION'!$D$2:$D$1000,$B9)+SUMIFS('LAPORAN OPERATION'!$F$2:$F$1000,'LAPORAN OPERATION'!$A$2:$A$1000,DATE(2026,10,14),'LAPORAN OPERATION'!$B$2:$B$1000,"Count",'LAPORAN OPERATION'!$C$2:$C$1000,IF($A9="Pine","Pinus",$A9),'LAPORAN OPERATION'!$D$2:$D$1000,$B9&amp;" (Grade A)")</f>
        <v>2.804219999999999</v>
      </c>
      <c r="E9" s="292">
        <f>SUMIFS(INCOMING!$F$2:$F$5000,INCOMING!$C$2:$C$5000,$A9,INCOMING!$D$2:$D$5000,$B9,INCOMING!$B$2:$B$5000,"&gt;="&amp;$C9,INCOMING!$B$2:$B$5000,"&lt;="&amp;DATE(2026,10,17))</f>
        <v>0</v>
      </c>
      <c r="F9" s="292">
        <f>SUMIFS(OUT!$F$14:$F$5084,OUT!$C$14:$C$5084,$A9,OUT!$D$14:$D$5084,$B9,OUT!$B$14:$B$5084,"&gt;="&amp;$C9,OUT!$B$14:$B$5084,"&lt;="&amp;DATE(2026,10,17),OUT!$L$14:$L$5084,"&lt;&gt;Adjustment")</f>
        <v>0.83448</v>
      </c>
      <c r="G9" s="292">
        <f t="shared" si="0"/>
        <v>1.9697399999999989</v>
      </c>
      <c r="H9" s="292">
        <f>SUMIFS('LAPORAN OPERATION'!$F$2:$F$1000,'LAPORAN OPERATION'!$A$2:$A$1000,DATE(2026,10,17),'LAPORAN OPERATION'!$B$2:$B$1000,"Balance",'LAPORAN OPERATION'!$C$2:$C$1000,IF($A9="Pine","Pinus",$A9),'LAPORAN OPERATION'!$D$2:$D$1000,$B9)+SUMIFS('LAPORAN OPERATION'!$F$2:$F$1000,'LAPORAN OPERATION'!$A$2:$A$1000,DATE(2026,10,17),'LAPORAN OPERATION'!$B$2:$B$1000,"Balance",'LAPORAN OPERATION'!$C$2:$C$1000,IF($A9="Pine","Pinus",$A9),'LAPORAN OPERATION'!$D$2:$D$1000,$B9&amp;" (Grade A)")</f>
        <v>2.752019999999999</v>
      </c>
      <c r="I9" s="293">
        <f t="shared" si="1"/>
        <v>-0.78227999999999998</v>
      </c>
      <c r="J9" s="292">
        <f>SUMIFS(INCOMING!$F$2:$F$5000,INCOMING!$C$2:$C$5000,$A9,INCOMING!$D$2:$D$5000,$B9,INCOMING!$B$2:$B$5000,"&gt;="&amp;DATE(2026,10,18),INCOMING!$B$2:$B$5000,"&lt;="&amp;DATE(2026,10,21))</f>
        <v>0</v>
      </c>
      <c r="K9" s="292">
        <f>SUMIFS(OUT!$F$14:$F$5084,OUT!$C$14:$C$5084,$A9,OUT!$D$14:$D$5084,$B9,OUT!$B$14:$B$5084,"&gt;="&amp;DATE(2026,10,18),OUT!$B$14:$B$5084,"&lt;="&amp;DATE(2026,10,21),OUT!$L$14:$L$5084,"&lt;&gt;Adjustment")</f>
        <v>1.9845450000000002</v>
      </c>
      <c r="L9" s="292">
        <f t="shared" si="2"/>
        <v>-1.4805000000001289E-2</v>
      </c>
      <c r="M9" s="292">
        <f>SUMIFS('LAPORAN OPERATION'!$F$2:$F$1000,'LAPORAN OPERATION'!$A$2:$A$1000,DATE(2026,10,21),'LAPORAN OPERATION'!$B$2:$B$1000,"Balance",'LAPORAN OPERATION'!$C$2:$C$1000,IF($A9="Pine","Pinus",$A9),'LAPORAN OPERATION'!$D$2:$D$1000,$B9)+SUMIFS('LAPORAN OPERATION'!$F$2:$F$1000,'LAPORAN OPERATION'!$A$2:$A$1000,DATE(2026,10,21),'LAPORAN OPERATION'!$B$2:$B$1000,"Balance",'LAPORAN OPERATION'!$C$2:$C$1000,IF($A9="Pine","Pinus",$A9),'LAPORAN OPERATION'!$D$2:$D$1000,$B9&amp;" (Grade A)")</f>
        <v>0</v>
      </c>
      <c r="N9" s="293">
        <f t="shared" si="3"/>
        <v>-1.4805E-2</v>
      </c>
      <c r="O9" s="292">
        <f>SUMIFS(INCOMING!$F$2:$F$5000,INCOMING!$C$2:$C$5000,$A9,INCOMING!$D$2:$D$5000,$B9,INCOMING!$B$2:$B$5000,"&gt;="&amp;DATE(2026,10,22),INCOMING!$B$2:$B$5000,"&lt;="&amp;DATE(2026,10,24))</f>
        <v>1.9974149999999999</v>
      </c>
      <c r="P9" s="292">
        <f>SUMIFS(OUT!$F$14:$F$5084,OUT!$C$14:$C$5084,$A9,OUT!$D$14:$D$5084,$B9,OUT!$B$14:$B$5084,"&gt;="&amp;DATE(2026,10,22),OUT!$B$14:$B$5084,"&lt;="&amp;DATE(2026,10,24),OUT!$L$14:$L$5084,"&lt;&gt;Adjustment")</f>
        <v>1.2467699999999999</v>
      </c>
      <c r="Q9" s="292">
        <f t="shared" si="4"/>
        <v>0.73583999999999872</v>
      </c>
      <c r="R9" s="292">
        <f>SUMIFS('LAPORAN OPERATION'!$F$2:$F$1000,'LAPORAN OPERATION'!$A$2:$A$1000,DATE(2026,10,24),'LAPORAN OPERATION'!$B$2:$B$1000,"Count",'LAPORAN OPERATION'!$C$2:$C$1000,IF($A9="Pine","Pinus",$A9),'LAPORAN OPERATION'!$D$2:$D$1000,$B9)+SUMIFS('LAPORAN OPERATION'!$F$2:$F$1000,'LAPORAN OPERATION'!$A$2:$A$1000,DATE(2026,10,24),'LAPORAN OPERATION'!$B$2:$B$1000,"Count",'LAPORAN OPERATION'!$C$2:$C$1000,IF($A9="Pine","Pinus",$A9),'LAPORAN OPERATION'!$D$2:$D$1000,$B9&amp;" (Grade A)")</f>
        <v>0.84694500000000028</v>
      </c>
      <c r="S9" s="293">
        <f t="shared" si="5"/>
        <v>-0.111105</v>
      </c>
    </row>
    <row r="10" spans="1:19" x14ac:dyDescent="0.25">
      <c r="A10" s="290" t="s">
        <v>13</v>
      </c>
      <c r="B10" s="290">
        <v>5</v>
      </c>
      <c r="C10" s="291">
        <v>46310</v>
      </c>
      <c r="D10" s="292">
        <f>SUMIFS('LAPORAN OPERATION'!$F$2:$F$1000,'LAPORAN OPERATION'!$A$2:$A$1000,DATE(2026,10,14),'LAPORAN OPERATION'!$B$2:$B$1000,"Count",'LAPORAN OPERATION'!$C$2:$C$1000,IF($A10="Pine","Pinus",$A10),'LAPORAN OPERATION'!$D$2:$D$1000,$B10)+SUMIFS('LAPORAN OPERATION'!$F$2:$F$1000,'LAPORAN OPERATION'!$A$2:$A$1000,DATE(2026,10,14),'LAPORAN OPERATION'!$B$2:$B$1000,"Count",'LAPORAN OPERATION'!$C$2:$C$1000,IF($A10="Pine","Pinus",$A10),'LAPORAN OPERATION'!$D$2:$D$1000,$B10&amp;" (Grade A)")</f>
        <v>0</v>
      </c>
      <c r="E10" s="292">
        <f>SUMIFS(INCOMING!$F$2:$F$5000,INCOMING!$C$2:$C$5000,$A10,INCOMING!$D$2:$D$5000,$B10,INCOMING!$B$2:$B$5000,"&gt;="&amp;$C10,INCOMING!$B$2:$B$5000,"&lt;="&amp;DATE(2026,10,17))</f>
        <v>0</v>
      </c>
      <c r="F10" s="292">
        <f>SUMIFS(OUT!$F$14:$F$5084,OUT!$C$14:$C$5084,$A10,OUT!$D$14:$D$5084,$B10,OUT!$B$14:$B$5084,"&gt;="&amp;$C10,OUT!$B$14:$B$5084,"&lt;="&amp;DATE(2026,10,17),OUT!$L$14:$L$5084,"&lt;&gt;Adjustment")</f>
        <v>0</v>
      </c>
      <c r="G10" s="292">
        <f t="shared" si="0"/>
        <v>0</v>
      </c>
      <c r="H10" s="292">
        <f>SUMIFS('LAPORAN OPERATION'!$F$2:$F$1000,'LAPORAN OPERATION'!$A$2:$A$1000,DATE(2026,10,17),'LAPORAN OPERATION'!$B$2:$B$1000,"Balance",'LAPORAN OPERATION'!$C$2:$C$1000,IF($A10="Pine","Pinus",$A10),'LAPORAN OPERATION'!$D$2:$D$1000,$B10)+SUMIFS('LAPORAN OPERATION'!$F$2:$F$1000,'LAPORAN OPERATION'!$A$2:$A$1000,DATE(2026,10,17),'LAPORAN OPERATION'!$B$2:$B$1000,"Balance",'LAPORAN OPERATION'!$C$2:$C$1000,IF($A10="Pine","Pinus",$A10),'LAPORAN OPERATION'!$D$2:$D$1000,$B10&amp;" (Grade A)")</f>
        <v>0</v>
      </c>
      <c r="I10" s="293">
        <f t="shared" si="1"/>
        <v>0</v>
      </c>
      <c r="J10" s="292">
        <f>SUMIFS(INCOMING!$F$2:$F$5000,INCOMING!$C$2:$C$5000,$A10,INCOMING!$D$2:$D$5000,$B10,INCOMING!$B$2:$B$5000,"&gt;="&amp;DATE(2026,10,18),INCOMING!$B$2:$B$5000,"&lt;="&amp;DATE(2026,10,21))</f>
        <v>0</v>
      </c>
      <c r="K10" s="292">
        <f>SUMIFS(OUT!$F$14:$F$5084,OUT!$C$14:$C$5084,$A10,OUT!$D$14:$D$5084,$B10,OUT!$B$14:$B$5084,"&gt;="&amp;DATE(2026,10,18),OUT!$B$14:$B$5084,"&lt;="&amp;DATE(2026,10,21),OUT!$L$14:$L$5084,"&lt;&gt;Adjustment")</f>
        <v>0</v>
      </c>
      <c r="L10" s="292">
        <f t="shared" si="2"/>
        <v>0</v>
      </c>
      <c r="M10" s="292">
        <f>SUMIFS('LAPORAN OPERATION'!$F$2:$F$1000,'LAPORAN OPERATION'!$A$2:$A$1000,DATE(2026,10,21),'LAPORAN OPERATION'!$B$2:$B$1000,"Balance",'LAPORAN OPERATION'!$C$2:$C$1000,IF($A10="Pine","Pinus",$A10),'LAPORAN OPERATION'!$D$2:$D$1000,$B10)+SUMIFS('LAPORAN OPERATION'!$F$2:$F$1000,'LAPORAN OPERATION'!$A$2:$A$1000,DATE(2026,10,21),'LAPORAN OPERATION'!$B$2:$B$1000,"Balance",'LAPORAN OPERATION'!$C$2:$C$1000,IF($A10="Pine","Pinus",$A10),'LAPORAN OPERATION'!$D$2:$D$1000,$B10&amp;" (Grade A)")</f>
        <v>0</v>
      </c>
      <c r="N10" s="293">
        <f t="shared" si="3"/>
        <v>0</v>
      </c>
      <c r="O10" s="292">
        <f>SUMIFS(INCOMING!$F$2:$F$5000,INCOMING!$C$2:$C$5000,$A10,INCOMING!$D$2:$D$5000,$B10,INCOMING!$B$2:$B$5000,"&gt;="&amp;DATE(2026,10,22),INCOMING!$B$2:$B$5000,"&lt;="&amp;DATE(2026,10,24))</f>
        <v>0</v>
      </c>
      <c r="P10" s="292">
        <f>SUMIFS(OUT!$F$14:$F$5084,OUT!$C$14:$C$5084,$A10,OUT!$D$14:$D$5084,$B10,OUT!$B$14:$B$5084,"&gt;="&amp;DATE(2026,10,22),OUT!$B$14:$B$5084,"&lt;="&amp;DATE(2026,10,24),OUT!$L$14:$L$5084,"&lt;&gt;Adjustment")</f>
        <v>0</v>
      </c>
      <c r="Q10" s="292">
        <f t="shared" si="4"/>
        <v>0</v>
      </c>
      <c r="R10" s="292">
        <f>SUMIFS('LAPORAN OPERATION'!$F$2:$F$1000,'LAPORAN OPERATION'!$A$2:$A$1000,DATE(2026,10,24),'LAPORAN OPERATION'!$B$2:$B$1000,"Count",'LAPORAN OPERATION'!$C$2:$C$1000,IF($A10="Pine","Pinus",$A10),'LAPORAN OPERATION'!$D$2:$D$1000,$B10)+SUMIFS('LAPORAN OPERATION'!$F$2:$F$1000,'LAPORAN OPERATION'!$A$2:$A$1000,DATE(2026,10,24),'LAPORAN OPERATION'!$B$2:$B$1000,"Count",'LAPORAN OPERATION'!$C$2:$C$1000,IF($A10="Pine","Pinus",$A10),'LAPORAN OPERATION'!$D$2:$D$1000,$B10&amp;" (Grade A)")</f>
        <v>0</v>
      </c>
      <c r="S10" s="293">
        <f t="shared" si="5"/>
        <v>0</v>
      </c>
    </row>
    <row r="11" spans="1:19" x14ac:dyDescent="0.25">
      <c r="A11" s="290" t="s">
        <v>13</v>
      </c>
      <c r="B11" s="290">
        <v>5.5</v>
      </c>
      <c r="C11" s="291">
        <v>46310</v>
      </c>
      <c r="D11" s="292">
        <f>SUMIFS('LAPORAN OPERATION'!$F$2:$F$1000,'LAPORAN OPERATION'!$A$2:$A$1000,DATE(2026,10,14),'LAPORAN OPERATION'!$B$2:$B$1000,"Count",'LAPORAN OPERATION'!$C$2:$C$1000,IF($A11="Pine","Pinus",$A11),'LAPORAN OPERATION'!$D$2:$D$1000,$B11)+SUMIFS('LAPORAN OPERATION'!$F$2:$F$1000,'LAPORAN OPERATION'!$A$2:$A$1000,DATE(2026,10,14),'LAPORAN OPERATION'!$B$2:$B$1000,"Count",'LAPORAN OPERATION'!$C$2:$C$1000,IF($A11="Pine","Pinus",$A11),'LAPORAN OPERATION'!$D$2:$D$1000,$B11&amp;" (Grade A)")</f>
        <v>0</v>
      </c>
      <c r="E11" s="292">
        <f>SUMIFS(INCOMING!$F$2:$F$5000,INCOMING!$C$2:$C$5000,$A11,INCOMING!$D$2:$D$5000,$B11,INCOMING!$B$2:$B$5000,"&gt;="&amp;$C11,INCOMING!$B$2:$B$5000,"&lt;="&amp;DATE(2026,10,17))</f>
        <v>0</v>
      </c>
      <c r="F11" s="292">
        <f>SUMIFS(OUT!$F$14:$F$5084,OUT!$C$14:$C$5084,$A11,OUT!$D$14:$D$5084,$B11,OUT!$B$14:$B$5084,"&gt;="&amp;$C11,OUT!$B$14:$B$5084,"&lt;="&amp;DATE(2026,10,17),OUT!$L$14:$L$5084,"&lt;&gt;Adjustment")</f>
        <v>0</v>
      </c>
      <c r="G11" s="292">
        <f t="shared" si="0"/>
        <v>0</v>
      </c>
      <c r="H11" s="292">
        <f>SUMIFS('LAPORAN OPERATION'!$F$2:$F$1000,'LAPORAN OPERATION'!$A$2:$A$1000,DATE(2026,10,17),'LAPORAN OPERATION'!$B$2:$B$1000,"Balance",'LAPORAN OPERATION'!$C$2:$C$1000,IF($A11="Pine","Pinus",$A11),'LAPORAN OPERATION'!$D$2:$D$1000,$B11)+SUMIFS('LAPORAN OPERATION'!$F$2:$F$1000,'LAPORAN OPERATION'!$A$2:$A$1000,DATE(2026,10,17),'LAPORAN OPERATION'!$B$2:$B$1000,"Balance",'LAPORAN OPERATION'!$C$2:$C$1000,IF($A11="Pine","Pinus",$A11),'LAPORAN OPERATION'!$D$2:$D$1000,$B11&amp;" (Grade A)")</f>
        <v>0</v>
      </c>
      <c r="I11" s="293">
        <f t="shared" si="1"/>
        <v>0</v>
      </c>
      <c r="J11" s="292">
        <f>SUMIFS(INCOMING!$F$2:$F$5000,INCOMING!$C$2:$C$5000,$A11,INCOMING!$D$2:$D$5000,$B11,INCOMING!$B$2:$B$5000,"&gt;="&amp;DATE(2026,10,18),INCOMING!$B$2:$B$5000,"&lt;="&amp;DATE(2026,10,21))</f>
        <v>0</v>
      </c>
      <c r="K11" s="292">
        <f>SUMIFS(OUT!$F$14:$F$5084,OUT!$C$14:$C$5084,$A11,OUT!$D$14:$D$5084,$B11,OUT!$B$14:$B$5084,"&gt;="&amp;DATE(2026,10,18),OUT!$B$14:$B$5084,"&lt;="&amp;DATE(2026,10,21),OUT!$L$14:$L$5084,"&lt;&gt;Adjustment")</f>
        <v>0</v>
      </c>
      <c r="L11" s="292">
        <f t="shared" si="2"/>
        <v>0</v>
      </c>
      <c r="M11" s="292">
        <f>SUMIFS('LAPORAN OPERATION'!$F$2:$F$1000,'LAPORAN OPERATION'!$A$2:$A$1000,DATE(2026,10,21),'LAPORAN OPERATION'!$B$2:$B$1000,"Balance",'LAPORAN OPERATION'!$C$2:$C$1000,IF($A11="Pine","Pinus",$A11),'LAPORAN OPERATION'!$D$2:$D$1000,$B11)+SUMIFS('LAPORAN OPERATION'!$F$2:$F$1000,'LAPORAN OPERATION'!$A$2:$A$1000,DATE(2026,10,21),'LAPORAN OPERATION'!$B$2:$B$1000,"Balance",'LAPORAN OPERATION'!$C$2:$C$1000,IF($A11="Pine","Pinus",$A11),'LAPORAN OPERATION'!$D$2:$D$1000,$B11&amp;" (Grade A)")</f>
        <v>0</v>
      </c>
      <c r="N11" s="293">
        <f t="shared" si="3"/>
        <v>0</v>
      </c>
      <c r="O11" s="292">
        <f>SUMIFS(INCOMING!$F$2:$F$5000,INCOMING!$C$2:$C$5000,$A11,INCOMING!$D$2:$D$5000,$B11,INCOMING!$B$2:$B$5000,"&gt;="&amp;DATE(2026,10,22),INCOMING!$B$2:$B$5000,"&lt;="&amp;DATE(2026,10,24))</f>
        <v>0</v>
      </c>
      <c r="P11" s="292">
        <f>SUMIFS(OUT!$F$14:$F$5084,OUT!$C$14:$C$5084,$A11,OUT!$D$14:$D$5084,$B11,OUT!$B$14:$B$5084,"&gt;="&amp;DATE(2026,10,22),OUT!$B$14:$B$5084,"&lt;="&amp;DATE(2026,10,24),OUT!$L$14:$L$5084,"&lt;&gt;Adjustment")</f>
        <v>0</v>
      </c>
      <c r="Q11" s="292">
        <f t="shared" si="4"/>
        <v>0</v>
      </c>
      <c r="R11" s="292">
        <f>SUMIFS('LAPORAN OPERATION'!$F$2:$F$1000,'LAPORAN OPERATION'!$A$2:$A$1000,DATE(2026,10,24),'LAPORAN OPERATION'!$B$2:$B$1000,"Count",'LAPORAN OPERATION'!$C$2:$C$1000,IF($A11="Pine","Pinus",$A11),'LAPORAN OPERATION'!$D$2:$D$1000,$B11)+SUMIFS('LAPORAN OPERATION'!$F$2:$F$1000,'LAPORAN OPERATION'!$A$2:$A$1000,DATE(2026,10,24),'LAPORAN OPERATION'!$B$2:$B$1000,"Count",'LAPORAN OPERATION'!$C$2:$C$1000,IF($A11="Pine","Pinus",$A11),'LAPORAN OPERATION'!$D$2:$D$1000,$B11&amp;" (Grade A)")</f>
        <v>0</v>
      </c>
      <c r="S11" s="293">
        <f t="shared" si="5"/>
        <v>0</v>
      </c>
    </row>
    <row r="12" spans="1:19" x14ac:dyDescent="0.25">
      <c r="A12" s="290" t="s">
        <v>13</v>
      </c>
      <c r="B12" s="290">
        <v>6</v>
      </c>
      <c r="C12" s="291">
        <v>46310</v>
      </c>
      <c r="D12" s="292">
        <f>SUMIFS('LAPORAN OPERATION'!$F$2:$F$1000,'LAPORAN OPERATION'!$A$2:$A$1000,DATE(2026,10,14),'LAPORAN OPERATION'!$B$2:$B$1000,"Count",'LAPORAN OPERATION'!$C$2:$C$1000,IF($A12="Pine","Pinus",$A12),'LAPORAN OPERATION'!$D$2:$D$1000,$B12)+SUMIFS('LAPORAN OPERATION'!$F$2:$F$1000,'LAPORAN OPERATION'!$A$2:$A$1000,DATE(2026,10,14),'LAPORAN OPERATION'!$B$2:$B$1000,"Count",'LAPORAN OPERATION'!$C$2:$C$1000,IF($A12="Pine","Pinus",$A12),'LAPORAN OPERATION'!$D$2:$D$1000,$B12&amp;" (Grade A)")</f>
        <v>5.3697600000000003</v>
      </c>
      <c r="E12" s="292">
        <f>SUMIFS(INCOMING!$F$2:$F$5000,INCOMING!$C$2:$C$5000,$A12,INCOMING!$D$2:$D$5000,$B12,INCOMING!$B$2:$B$5000,"&gt;="&amp;$C12,INCOMING!$B$2:$B$5000,"&lt;="&amp;DATE(2026,10,17))</f>
        <v>0</v>
      </c>
      <c r="F12" s="292">
        <f>SUMIFS(OUT!$F$14:$F$5084,OUT!$C$14:$C$5084,$A12,OUT!$D$14:$D$5084,$B12,OUT!$B$14:$B$5084,"&gt;="&amp;$C12,OUT!$B$14:$B$5084,"&lt;="&amp;DATE(2026,10,17),OUT!$L$14:$L$5084,"&lt;&gt;Adjustment")</f>
        <v>0</v>
      </c>
      <c r="G12" s="292">
        <f t="shared" si="0"/>
        <v>5.3697600000000003</v>
      </c>
      <c r="H12" s="292">
        <f>SUMIFS('LAPORAN OPERATION'!$F$2:$F$1000,'LAPORAN OPERATION'!$A$2:$A$1000,DATE(2026,10,17),'LAPORAN OPERATION'!$B$2:$B$1000,"Balance",'LAPORAN OPERATION'!$C$2:$C$1000,IF($A12="Pine","Pinus",$A12),'LAPORAN OPERATION'!$D$2:$D$1000,$B12)+SUMIFS('LAPORAN OPERATION'!$F$2:$F$1000,'LAPORAN OPERATION'!$A$2:$A$1000,DATE(2026,10,17),'LAPORAN OPERATION'!$B$2:$B$1000,"Balance",'LAPORAN OPERATION'!$C$2:$C$1000,IF($A12="Pine","Pinus",$A12),'LAPORAN OPERATION'!$D$2:$D$1000,$B12&amp;" (Grade A)")</f>
        <v>5.3697600000000003</v>
      </c>
      <c r="I12" s="293">
        <f t="shared" si="1"/>
        <v>0</v>
      </c>
      <c r="J12" s="292">
        <f>SUMIFS(INCOMING!$F$2:$F$5000,INCOMING!$C$2:$C$5000,$A12,INCOMING!$D$2:$D$5000,$B12,INCOMING!$B$2:$B$5000,"&gt;="&amp;DATE(2026,10,18),INCOMING!$B$2:$B$5000,"&lt;="&amp;DATE(2026,10,21))</f>
        <v>0</v>
      </c>
      <c r="K12" s="292">
        <f>SUMIFS(OUT!$F$14:$F$5084,OUT!$C$14:$C$5084,$A12,OUT!$D$14:$D$5084,$B12,OUT!$B$14:$B$5084,"&gt;="&amp;DATE(2026,10,18),OUT!$B$14:$B$5084,"&lt;="&amp;DATE(2026,10,21),OUT!$L$14:$L$5084,"&lt;&gt;Adjustment")</f>
        <v>0.83051999999999992</v>
      </c>
      <c r="L12" s="292">
        <f t="shared" si="2"/>
        <v>4.5392400000000004</v>
      </c>
      <c r="M12" s="292">
        <f>SUMIFS('LAPORAN OPERATION'!$F$2:$F$1000,'LAPORAN OPERATION'!$A$2:$A$1000,DATE(2026,10,21),'LAPORAN OPERATION'!$B$2:$B$1000,"Balance",'LAPORAN OPERATION'!$C$2:$C$1000,IF($A12="Pine","Pinus",$A12),'LAPORAN OPERATION'!$D$2:$D$1000,$B12)+SUMIFS('LAPORAN OPERATION'!$F$2:$F$1000,'LAPORAN OPERATION'!$A$2:$A$1000,DATE(2026,10,21),'LAPORAN OPERATION'!$B$2:$B$1000,"Balance",'LAPORAN OPERATION'!$C$2:$C$1000,IF($A12="Pine","Pinus",$A12),'LAPORAN OPERATION'!$D$2:$D$1000,$B12&amp;" (Grade A)")</f>
        <v>4.5392400000000004</v>
      </c>
      <c r="N12" s="293">
        <f t="shared" si="3"/>
        <v>0</v>
      </c>
      <c r="O12" s="292">
        <f>SUMIFS(INCOMING!$F$2:$F$5000,INCOMING!$C$2:$C$5000,$A12,INCOMING!$D$2:$D$5000,$B12,INCOMING!$B$2:$B$5000,"&gt;="&amp;DATE(2026,10,22),INCOMING!$B$2:$B$5000,"&lt;="&amp;DATE(2026,10,24))</f>
        <v>0</v>
      </c>
      <c r="P12" s="292">
        <f>SUMIFS(OUT!$F$14:$F$5084,OUT!$C$14:$C$5084,$A12,OUT!$D$14:$D$5084,$B12,OUT!$B$14:$B$5084,"&gt;="&amp;DATE(2026,10,22),OUT!$B$14:$B$5084,"&lt;="&amp;DATE(2026,10,24),OUT!$L$14:$L$5084,"&lt;&gt;Adjustment")</f>
        <v>0</v>
      </c>
      <c r="Q12" s="292">
        <f t="shared" si="4"/>
        <v>4.5392400000000004</v>
      </c>
      <c r="R12" s="292">
        <f>SUMIFS('LAPORAN OPERATION'!$F$2:$F$1000,'LAPORAN OPERATION'!$A$2:$A$1000,DATE(2026,10,24),'LAPORAN OPERATION'!$B$2:$B$1000,"Count",'LAPORAN OPERATION'!$C$2:$C$1000,IF($A12="Pine","Pinus",$A12),'LAPORAN OPERATION'!$D$2:$D$1000,$B12)+SUMIFS('LAPORAN OPERATION'!$F$2:$F$1000,'LAPORAN OPERATION'!$A$2:$A$1000,DATE(2026,10,24),'LAPORAN OPERATION'!$B$2:$B$1000,"Count",'LAPORAN OPERATION'!$C$2:$C$1000,IF($A12="Pine","Pinus",$A12),'LAPORAN OPERATION'!$D$2:$D$1000,$B12&amp;" (Grade A)")</f>
        <v>5.0325600000000001</v>
      </c>
      <c r="S12" s="293">
        <f t="shared" si="5"/>
        <v>-0.49331999999999998</v>
      </c>
    </row>
    <row r="13" spans="1:19" x14ac:dyDescent="0.25">
      <c r="A13" s="290" t="s">
        <v>13</v>
      </c>
      <c r="B13" s="290">
        <v>7</v>
      </c>
      <c r="C13" s="291">
        <v>46310</v>
      </c>
      <c r="D13" s="292">
        <f>SUMIFS('LAPORAN OPERATION'!$F$2:$F$1000,'LAPORAN OPERATION'!$A$2:$A$1000,DATE(2026,10,14),'LAPORAN OPERATION'!$B$2:$B$1000,"Count",'LAPORAN OPERATION'!$C$2:$C$1000,IF($A13="Pine","Pinus",$A13),'LAPORAN OPERATION'!$D$2:$D$1000,$B13)+SUMIFS('LAPORAN OPERATION'!$F$2:$F$1000,'LAPORAN OPERATION'!$A$2:$A$1000,DATE(2026,10,14),'LAPORAN OPERATION'!$B$2:$B$1000,"Count",'LAPORAN OPERATION'!$C$2:$C$1000,IF($A13="Pine","Pinus",$A13),'LAPORAN OPERATION'!$D$2:$D$1000,$B13&amp;" (Grade A)")</f>
        <v>7.5186300000000008</v>
      </c>
      <c r="E13" s="292">
        <f>SUMIFS(INCOMING!$F$2:$F$5000,INCOMING!$C$2:$C$5000,$A13,INCOMING!$D$2:$D$5000,$B13,INCOMING!$B$2:$B$5000,"&gt;="&amp;$C13,INCOMING!$B$2:$B$5000,"&lt;="&amp;DATE(2026,10,17))</f>
        <v>0</v>
      </c>
      <c r="F13" s="292">
        <f>SUMIFS(OUT!$F$14:$F$5084,OUT!$C$14:$C$5084,$A13,OUT!$D$14:$D$5084,$B13,OUT!$B$14:$B$5084,"&gt;="&amp;$C13,OUT!$B$14:$B$5084,"&lt;="&amp;DATE(2026,10,17),OUT!$L$14:$L$5084,"&lt;&gt;Adjustment")</f>
        <v>0.14419999999999999</v>
      </c>
      <c r="G13" s="292">
        <f t="shared" si="0"/>
        <v>7.3744300000000012</v>
      </c>
      <c r="H13" s="292">
        <f>SUMIFS('LAPORAN OPERATION'!$F$2:$F$1000,'LAPORAN OPERATION'!$A$2:$A$1000,DATE(2026,10,17),'LAPORAN OPERATION'!$B$2:$B$1000,"Balance",'LAPORAN OPERATION'!$C$2:$C$1000,IF($A13="Pine","Pinus",$A13),'LAPORAN OPERATION'!$D$2:$D$1000,$B13)+SUMIFS('LAPORAN OPERATION'!$F$2:$F$1000,'LAPORAN OPERATION'!$A$2:$A$1000,DATE(2026,10,17),'LAPORAN OPERATION'!$B$2:$B$1000,"Balance",'LAPORAN OPERATION'!$C$2:$C$1000,IF($A13="Pine","Pinus",$A13),'LAPORAN OPERATION'!$D$2:$D$1000,$B13&amp;" (Grade A)")</f>
        <v>7.5186300000000008</v>
      </c>
      <c r="I13" s="293">
        <f t="shared" si="1"/>
        <v>-0.14419999999999999</v>
      </c>
      <c r="J13" s="292">
        <f>SUMIFS(INCOMING!$F$2:$F$5000,INCOMING!$C$2:$C$5000,$A13,INCOMING!$D$2:$D$5000,$B13,INCOMING!$B$2:$B$5000,"&gt;="&amp;DATE(2026,10,18),INCOMING!$B$2:$B$5000,"&lt;="&amp;DATE(2026,10,21))</f>
        <v>0</v>
      </c>
      <c r="K13" s="292">
        <f>SUMIFS(OUT!$F$14:$F$5084,OUT!$C$14:$C$5084,$A13,OUT!$D$14:$D$5084,$B13,OUT!$B$14:$B$5084,"&gt;="&amp;DATE(2026,10,18),OUT!$B$14:$B$5084,"&lt;="&amp;DATE(2026,10,21),OUT!$L$14:$L$5084,"&lt;&gt;Adjustment")</f>
        <v>0</v>
      </c>
      <c r="L13" s="292">
        <f t="shared" si="2"/>
        <v>7.3744300000000012</v>
      </c>
      <c r="M13" s="292">
        <f>SUMIFS('LAPORAN OPERATION'!$F$2:$F$1000,'LAPORAN OPERATION'!$A$2:$A$1000,DATE(2026,10,21),'LAPORAN OPERATION'!$B$2:$B$1000,"Balance",'LAPORAN OPERATION'!$C$2:$C$1000,IF($A13="Pine","Pinus",$A13),'LAPORAN OPERATION'!$D$2:$D$1000,$B13)+SUMIFS('LAPORAN OPERATION'!$F$2:$F$1000,'LAPORAN OPERATION'!$A$2:$A$1000,DATE(2026,10,21),'LAPORAN OPERATION'!$B$2:$B$1000,"Balance",'LAPORAN OPERATION'!$C$2:$C$1000,IF($A13="Pine","Pinus",$A13),'LAPORAN OPERATION'!$D$2:$D$1000,$B13&amp;" (Grade A)")</f>
        <v>7.8310260000000014</v>
      </c>
      <c r="N13" s="293">
        <f t="shared" si="3"/>
        <v>-0.456596</v>
      </c>
      <c r="O13" s="292">
        <f>SUMIFS(INCOMING!$F$2:$F$5000,INCOMING!$C$2:$C$5000,$A13,INCOMING!$D$2:$D$5000,$B13,INCOMING!$B$2:$B$5000,"&gt;="&amp;DATE(2026,10,22),INCOMING!$B$2:$B$5000,"&lt;="&amp;DATE(2026,10,24))</f>
        <v>0</v>
      </c>
      <c r="P13" s="292">
        <f>SUMIFS(OUT!$F$14:$F$5084,OUT!$C$14:$C$5084,$A13,OUT!$D$14:$D$5084,$B13,OUT!$B$14:$B$5084,"&gt;="&amp;DATE(2026,10,22),OUT!$B$14:$B$5084,"&lt;="&amp;DATE(2026,10,24),OUT!$L$14:$L$5084,"&lt;&gt;Adjustment")</f>
        <v>1.1571</v>
      </c>
      <c r="Q13" s="292">
        <f t="shared" si="4"/>
        <v>6.2173300000000014</v>
      </c>
      <c r="R13" s="292">
        <f>SUMIFS('LAPORAN OPERATION'!$F$2:$F$1000,'LAPORAN OPERATION'!$A$2:$A$1000,DATE(2026,10,24),'LAPORAN OPERATION'!$B$2:$B$1000,"Count",'LAPORAN OPERATION'!$C$2:$C$1000,IF($A13="Pine","Pinus",$A13),'LAPORAN OPERATION'!$D$2:$D$1000,$B13)+SUMIFS('LAPORAN OPERATION'!$F$2:$F$1000,'LAPORAN OPERATION'!$A$2:$A$1000,DATE(2026,10,24),'LAPORAN OPERATION'!$B$2:$B$1000,"Count",'LAPORAN OPERATION'!$C$2:$C$1000,IF($A13="Pine","Pinus",$A13),'LAPORAN OPERATION'!$D$2:$D$1000,$B13&amp;" (Grade A)")</f>
        <v>6.9824160000000015</v>
      </c>
      <c r="S13" s="293">
        <f t="shared" si="5"/>
        <v>-0.76508600000000004</v>
      </c>
    </row>
    <row r="14" spans="1:19" x14ac:dyDescent="0.25">
      <c r="A14" s="290" t="s">
        <v>13</v>
      </c>
      <c r="B14" s="290">
        <v>8</v>
      </c>
      <c r="C14" s="291">
        <v>46310</v>
      </c>
      <c r="D14" s="292">
        <f>SUMIFS('LAPORAN OPERATION'!$F$2:$F$1000,'LAPORAN OPERATION'!$A$2:$A$1000,DATE(2026,10,14),'LAPORAN OPERATION'!$B$2:$B$1000,"Count",'LAPORAN OPERATION'!$C$2:$C$1000,IF($A14="Pine","Pinus",$A14),'LAPORAN OPERATION'!$D$2:$D$1000,$B14)+SUMIFS('LAPORAN OPERATION'!$F$2:$F$1000,'LAPORAN OPERATION'!$A$2:$A$1000,DATE(2026,10,14),'LAPORAN OPERATION'!$B$2:$B$1000,"Count",'LAPORAN OPERATION'!$C$2:$C$1000,IF($A14="Pine","Pinus",$A14),'LAPORAN OPERATION'!$D$2:$D$1000,$B14&amp;" (Grade A)")</f>
        <v>2.3652800000000012</v>
      </c>
      <c r="E14" s="292">
        <f>SUMIFS(INCOMING!$F$2:$F$5000,INCOMING!$C$2:$C$5000,$A14,INCOMING!$D$2:$D$5000,$B14,INCOMING!$B$2:$B$5000,"&gt;="&amp;$C14,INCOMING!$B$2:$B$5000,"&lt;="&amp;DATE(2026,10,17))</f>
        <v>0</v>
      </c>
      <c r="F14" s="292">
        <f>SUMIFS(OUT!$F$14:$F$5084,OUT!$C$14:$C$5084,$A14,OUT!$D$14:$D$5084,$B14,OUT!$B$14:$B$5084,"&gt;="&amp;$C14,OUT!$B$14:$B$5084,"&lt;="&amp;DATE(2026,10,17),OUT!$L$14:$L$5084,"&lt;&gt;Adjustment")</f>
        <v>0</v>
      </c>
      <c r="G14" s="292">
        <f t="shared" si="0"/>
        <v>2.3652800000000012</v>
      </c>
      <c r="H14" s="292">
        <f>SUMIFS('LAPORAN OPERATION'!$F$2:$F$1000,'LAPORAN OPERATION'!$A$2:$A$1000,DATE(2026,10,17),'LAPORAN OPERATION'!$B$2:$B$1000,"Balance",'LAPORAN OPERATION'!$C$2:$C$1000,IF($A14="Pine","Pinus",$A14),'LAPORAN OPERATION'!$D$2:$D$1000,$B14)+SUMIFS('LAPORAN OPERATION'!$F$2:$F$1000,'LAPORAN OPERATION'!$A$2:$A$1000,DATE(2026,10,17),'LAPORAN OPERATION'!$B$2:$B$1000,"Balance",'LAPORAN OPERATION'!$C$2:$C$1000,IF($A14="Pine","Pinus",$A14),'LAPORAN OPERATION'!$D$2:$D$1000,$B14&amp;" (Grade A)")</f>
        <v>2.3652800000000012</v>
      </c>
      <c r="I14" s="293">
        <f t="shared" si="1"/>
        <v>0</v>
      </c>
      <c r="J14" s="292">
        <f>SUMIFS(INCOMING!$F$2:$F$5000,INCOMING!$C$2:$C$5000,$A14,INCOMING!$D$2:$D$5000,$B14,INCOMING!$B$2:$B$5000,"&gt;="&amp;DATE(2026,10,18),INCOMING!$B$2:$B$5000,"&lt;="&amp;DATE(2026,10,21))</f>
        <v>0</v>
      </c>
      <c r="K14" s="292">
        <f>SUMIFS(OUT!$F$14:$F$5084,OUT!$C$14:$C$5084,$A14,OUT!$D$14:$D$5084,$B14,OUT!$B$14:$B$5084,"&gt;="&amp;DATE(2026,10,18),OUT!$B$14:$B$5084,"&lt;="&amp;DATE(2026,10,21),OUT!$L$14:$L$5084,"&lt;&gt;Adjustment")</f>
        <v>0</v>
      </c>
      <c r="L14" s="292">
        <f t="shared" si="2"/>
        <v>2.3652800000000012</v>
      </c>
      <c r="M14" s="292">
        <f>SUMIFS('LAPORAN OPERATION'!$F$2:$F$1000,'LAPORAN OPERATION'!$A$2:$A$1000,DATE(2026,10,21),'LAPORAN OPERATION'!$B$2:$B$1000,"Balance",'LAPORAN OPERATION'!$C$2:$C$1000,IF($A14="Pine","Pinus",$A14),'LAPORAN OPERATION'!$D$2:$D$1000,$B14)+SUMIFS('LAPORAN OPERATION'!$F$2:$F$1000,'LAPORAN OPERATION'!$A$2:$A$1000,DATE(2026,10,21),'LAPORAN OPERATION'!$B$2:$B$1000,"Balance",'LAPORAN OPERATION'!$C$2:$C$1000,IF($A14="Pine","Pinus",$A14),'LAPORAN OPERATION'!$D$2:$D$1000,$B14&amp;" (Grade A)")</f>
        <v>2.3652800000000012</v>
      </c>
      <c r="N14" s="293">
        <f t="shared" si="3"/>
        <v>0</v>
      </c>
      <c r="O14" s="292">
        <f>SUMIFS(INCOMING!$F$2:$F$5000,INCOMING!$C$2:$C$5000,$A14,INCOMING!$D$2:$D$5000,$B14,INCOMING!$B$2:$B$5000,"&gt;="&amp;DATE(2026,10,22),INCOMING!$B$2:$B$5000,"&lt;="&amp;DATE(2026,10,24))</f>
        <v>0</v>
      </c>
      <c r="P14" s="292">
        <f>SUMIFS(OUT!$F$14:$F$5084,OUT!$C$14:$C$5084,$A14,OUT!$D$14:$D$5084,$B14,OUT!$B$14:$B$5084,"&gt;="&amp;DATE(2026,10,22),OUT!$B$14:$B$5084,"&lt;="&amp;DATE(2026,10,24),OUT!$L$14:$L$5084,"&lt;&gt;Adjustment")</f>
        <v>0</v>
      </c>
      <c r="Q14" s="292">
        <f t="shared" si="4"/>
        <v>2.3652800000000012</v>
      </c>
      <c r="R14" s="292">
        <f>SUMIFS('LAPORAN OPERATION'!$F$2:$F$1000,'LAPORAN OPERATION'!$A$2:$A$1000,DATE(2026,10,24),'LAPORAN OPERATION'!$B$2:$B$1000,"Count",'LAPORAN OPERATION'!$C$2:$C$1000,IF($A14="Pine","Pinus",$A14),'LAPORAN OPERATION'!$D$2:$D$1000,$B14)+SUMIFS('LAPORAN OPERATION'!$F$2:$F$1000,'LAPORAN OPERATION'!$A$2:$A$1000,DATE(2026,10,24),'LAPORAN OPERATION'!$B$2:$B$1000,"Count",'LAPORAN OPERATION'!$C$2:$C$1000,IF($A14="Pine","Pinus",$A14),'LAPORAN OPERATION'!$D$2:$D$1000,$B14&amp;" (Grade A)")</f>
        <v>2.3000799999999999</v>
      </c>
      <c r="S14" s="293">
        <f t="shared" si="5"/>
        <v>6.5199999999999994E-2</v>
      </c>
    </row>
    <row r="15" spans="1:19" x14ac:dyDescent="0.25">
      <c r="A15" s="294" t="s">
        <v>14</v>
      </c>
      <c r="B15" s="294"/>
      <c r="C15" s="294"/>
      <c r="D15" s="295">
        <f t="shared" ref="D15:S15" si="6">SUM(D5:D14)</f>
        <v>19.143315000000001</v>
      </c>
      <c r="E15" s="295">
        <f t="shared" si="6"/>
        <v>0</v>
      </c>
      <c r="F15" s="295">
        <f t="shared" si="6"/>
        <v>1.8770449999999999</v>
      </c>
      <c r="G15" s="295">
        <f t="shared" si="6"/>
        <v>17.266270000000002</v>
      </c>
      <c r="H15" s="295">
        <f t="shared" si="6"/>
        <v>18.866765000000001</v>
      </c>
      <c r="I15" s="295">
        <f t="shared" si="6"/>
        <v>-1.600495</v>
      </c>
      <c r="J15" s="295">
        <f t="shared" si="6"/>
        <v>1.8943049999999999</v>
      </c>
      <c r="K15" s="295">
        <f t="shared" si="6"/>
        <v>3.0742050000000001</v>
      </c>
      <c r="L15" s="295">
        <f t="shared" si="6"/>
        <v>16.086370000000002</v>
      </c>
      <c r="M15" s="295">
        <f t="shared" si="6"/>
        <v>16.402671000000002</v>
      </c>
      <c r="N15" s="295">
        <f t="shared" si="6"/>
        <v>-0.316301</v>
      </c>
      <c r="O15" s="295">
        <f t="shared" si="6"/>
        <v>3.0571799999999998</v>
      </c>
      <c r="P15" s="295">
        <f t="shared" si="6"/>
        <v>3.01959</v>
      </c>
      <c r="Q15" s="295">
        <f t="shared" si="6"/>
        <v>16.12396</v>
      </c>
      <c r="R15" s="295">
        <f t="shared" si="6"/>
        <v>17.325671000000003</v>
      </c>
      <c r="S15" s="295">
        <f t="shared" si="6"/>
        <v>-1.201711</v>
      </c>
    </row>
    <row r="17" spans="1:19" x14ac:dyDescent="0.25">
      <c r="A17" s="290" t="s">
        <v>15</v>
      </c>
      <c r="B17" s="290">
        <v>2.5</v>
      </c>
      <c r="C17" s="291">
        <v>46310</v>
      </c>
      <c r="D17" s="292">
        <f>SUMIFS('LAPORAN OPERATION'!$F$2:$F$1000,'LAPORAN OPERATION'!$A$2:$A$1000,DATE(2026,10,14),'LAPORAN OPERATION'!$B$2:$B$1000,"Count",'LAPORAN OPERATION'!$C$2:$C$1000,IF($A17="Pine","Pinus",$A17),'LAPORAN OPERATION'!$D$2:$D$1000,$B17)+SUMIFS('LAPORAN OPERATION'!$F$2:$F$1000,'LAPORAN OPERATION'!$A$2:$A$1000,DATE(2026,10,14),'LAPORAN OPERATION'!$B$2:$B$1000,"Count",'LAPORAN OPERATION'!$C$2:$C$1000,IF($A17="Pine","Pinus",$A17),'LAPORAN OPERATION'!$D$2:$D$1000,$B17&amp;" (Grade A)")</f>
        <v>7.8225000000000017E-2</v>
      </c>
      <c r="E17" s="292">
        <f>SUMIFS(INCOMING!$F$2:$F$5000,INCOMING!$C$2:$C$5000,$A17,INCOMING!$D$2:$D$5000,$B17,INCOMING!$B$2:$B$5000,"&gt;="&amp;$C17,INCOMING!$B$2:$B$5000,"&lt;="&amp;DATE(2026,10,17))</f>
        <v>0</v>
      </c>
      <c r="F17" s="292">
        <f>SUMIFS(OUT!$F$14:$F$5084,OUT!$C$14:$C$5084,$A17,OUT!$D$14:$D$5084,$B17,OUT!$B$14:$B$5084,"&gt;="&amp;$C17,OUT!$B$14:$B$5084,"&lt;="&amp;DATE(2026,10,17),OUT!$L$14:$L$5084,"&lt;&gt;Adjustment")</f>
        <v>0</v>
      </c>
      <c r="G17" s="292">
        <f t="shared" ref="G17:G25" si="7">D17+E17-F17</f>
        <v>7.8225000000000017E-2</v>
      </c>
      <c r="H17" s="292">
        <f>SUMIFS('LAPORAN OPERATION'!$F$2:$F$1000,'LAPORAN OPERATION'!$A$2:$A$1000,DATE(2026,10,17),'LAPORAN OPERATION'!$B$2:$B$1000,"Balance",'LAPORAN OPERATION'!$C$2:$C$1000,IF($A17="Pine","Pinus",$A17),'LAPORAN OPERATION'!$D$2:$D$1000,$B17)+SUMIFS('LAPORAN OPERATION'!$F$2:$F$1000,'LAPORAN OPERATION'!$A$2:$A$1000,DATE(2026,10,17),'LAPORAN OPERATION'!$B$2:$B$1000,"Balance",'LAPORAN OPERATION'!$C$2:$C$1000,IF($A17="Pine","Pinus",$A17),'LAPORAN OPERATION'!$D$2:$D$1000,$B17&amp;" (Grade A)")</f>
        <v>7.8225000000000017E-2</v>
      </c>
      <c r="I17" s="293">
        <f t="shared" ref="I17:I25" si="8">ROUND(G17-H17,6)</f>
        <v>0</v>
      </c>
      <c r="J17" s="292">
        <f>SUMIFS(INCOMING!$F$2:$F$5000,INCOMING!$C$2:$C$5000,$A17,INCOMING!$D$2:$D$5000,$B17,INCOMING!$B$2:$B$5000,"&gt;="&amp;DATE(2026,10,18),INCOMING!$B$2:$B$5000,"&lt;="&amp;DATE(2026,10,21))</f>
        <v>0</v>
      </c>
      <c r="K17" s="292">
        <f>SUMIFS(OUT!$F$14:$F$5084,OUT!$C$14:$C$5084,$A17,OUT!$D$14:$D$5084,$B17,OUT!$B$14:$B$5084,"&gt;="&amp;DATE(2026,10,18),OUT!$B$14:$B$5084,"&lt;="&amp;DATE(2026,10,21),OUT!$L$14:$L$5084,"&lt;&gt;Adjustment")</f>
        <v>0</v>
      </c>
      <c r="L17" s="292">
        <f t="shared" ref="L17:L25" si="9">G17+J17-K17</f>
        <v>7.8225000000000017E-2</v>
      </c>
      <c r="M17" s="292">
        <f>SUMIFS('LAPORAN OPERATION'!$F$2:$F$1000,'LAPORAN OPERATION'!$A$2:$A$1000,DATE(2026,10,21),'LAPORAN OPERATION'!$B$2:$B$1000,"Balance",'LAPORAN OPERATION'!$C$2:$C$1000,IF($A17="Pine","Pinus",$A17),'LAPORAN OPERATION'!$D$2:$D$1000,$B17)+SUMIFS('LAPORAN OPERATION'!$F$2:$F$1000,'LAPORAN OPERATION'!$A$2:$A$1000,DATE(2026,10,21),'LAPORAN OPERATION'!$B$2:$B$1000,"Balance",'LAPORAN OPERATION'!$C$2:$C$1000,IF($A17="Pine","Pinus",$A17),'LAPORAN OPERATION'!$D$2:$D$1000,$B17&amp;" (Grade A)")</f>
        <v>7.8225000000000017E-2</v>
      </c>
      <c r="N17" s="293">
        <f t="shared" ref="N17:N25" si="10">ROUND(L17-M17,6)</f>
        <v>0</v>
      </c>
      <c r="O17" s="292">
        <f>SUMIFS(INCOMING!$F$2:$F$5000,INCOMING!$C$2:$C$5000,$A17,INCOMING!$D$2:$D$5000,$B17,INCOMING!$B$2:$B$5000,"&gt;="&amp;DATE(2026,10,22),INCOMING!$B$2:$B$5000,"&lt;="&amp;DATE(2026,10,24))</f>
        <v>0</v>
      </c>
      <c r="P17" s="292">
        <f>SUMIFS(OUT!$F$14:$F$5084,OUT!$C$14:$C$5084,$A17,OUT!$D$14:$D$5084,$B17,OUT!$B$14:$B$5084,"&gt;="&amp;DATE(2026,10,22),OUT!$B$14:$B$5084,"&lt;="&amp;DATE(2026,10,24),OUT!$L$14:$L$5084,"&lt;&gt;Adjustment")</f>
        <v>0</v>
      </c>
      <c r="Q17" s="292">
        <f t="shared" ref="Q17:Q25" si="11">L17+O17-P17</f>
        <v>7.8225000000000017E-2</v>
      </c>
      <c r="R17" s="292">
        <f>SUMIFS('LAPORAN OPERATION'!$F$2:$F$1000,'LAPORAN OPERATION'!$A$2:$A$1000,DATE(2026,10,24),'LAPORAN OPERATION'!$B$2:$B$1000,"Count",'LAPORAN OPERATION'!$C$2:$C$1000,IF($A17="Pine","Pinus",$A17),'LAPORAN OPERATION'!$D$2:$D$1000,$B17)+SUMIFS('LAPORAN OPERATION'!$F$2:$F$1000,'LAPORAN OPERATION'!$A$2:$A$1000,DATE(2026,10,24),'LAPORAN OPERATION'!$B$2:$B$1000,"Count",'LAPORAN OPERATION'!$C$2:$C$1000,IF($A17="Pine","Pinus",$A17),'LAPORAN OPERATION'!$D$2:$D$1000,$B17&amp;" (Grade A)")</f>
        <v>7.8225000000000017E-2</v>
      </c>
      <c r="S17" s="293">
        <f t="shared" ref="S17:S25" si="12">ROUND(Q17-R17,6)</f>
        <v>0</v>
      </c>
    </row>
    <row r="18" spans="1:19" x14ac:dyDescent="0.25">
      <c r="A18" s="290" t="s">
        <v>15</v>
      </c>
      <c r="B18" s="290">
        <v>3</v>
      </c>
      <c r="C18" s="291">
        <v>46310</v>
      </c>
      <c r="D18" s="292">
        <f>SUMIFS('LAPORAN OPERATION'!$F$2:$F$1000,'LAPORAN OPERATION'!$A$2:$A$1000,DATE(2026,10,14),'LAPORAN OPERATION'!$B$2:$B$1000,"Count",'LAPORAN OPERATION'!$C$2:$C$1000,IF($A18="Pine","Pinus",$A18),'LAPORAN OPERATION'!$D$2:$D$1000,$B18)+SUMIFS('LAPORAN OPERATION'!$F$2:$F$1000,'LAPORAN OPERATION'!$A$2:$A$1000,DATE(2026,10,14),'LAPORAN OPERATION'!$B$2:$B$1000,"Count",'LAPORAN OPERATION'!$C$2:$C$1000,IF($A18="Pine","Pinus",$A18),'LAPORAN OPERATION'!$D$2:$D$1000,$B18&amp;" (Grade A)")</f>
        <v>1.694871</v>
      </c>
      <c r="E18" s="292">
        <f>SUMIFS(INCOMING!$F$2:$F$5000,INCOMING!$C$2:$C$5000,$A18,INCOMING!$D$2:$D$5000,$B18,INCOMING!$B$2:$B$5000,"&gt;="&amp;$C18,INCOMING!$B$2:$B$5000,"&lt;="&amp;DATE(2026,10,17))</f>
        <v>0</v>
      </c>
      <c r="F18" s="292">
        <f>SUMIFS(OUT!$F$14:$F$5084,OUT!$C$14:$C$5084,$A18,OUT!$D$14:$D$5084,$B18,OUT!$B$14:$B$5084,"&gt;="&amp;$C18,OUT!$B$14:$B$5084,"&lt;="&amp;DATE(2026,10,17),OUT!$L$14:$L$5084,"&lt;&gt;Adjustment")</f>
        <v>0</v>
      </c>
      <c r="G18" s="292">
        <f t="shared" si="7"/>
        <v>1.694871</v>
      </c>
      <c r="H18" s="292">
        <f>SUMIFS('LAPORAN OPERATION'!$F$2:$F$1000,'LAPORAN OPERATION'!$A$2:$A$1000,DATE(2026,10,17),'LAPORAN OPERATION'!$B$2:$B$1000,"Balance",'LAPORAN OPERATION'!$C$2:$C$1000,IF($A18="Pine","Pinus",$A18),'LAPORAN OPERATION'!$D$2:$D$1000,$B18)+SUMIFS('LAPORAN OPERATION'!$F$2:$F$1000,'LAPORAN OPERATION'!$A$2:$A$1000,DATE(2026,10,17),'LAPORAN OPERATION'!$B$2:$B$1000,"Balance",'LAPORAN OPERATION'!$C$2:$C$1000,IF($A18="Pine","Pinus",$A18),'LAPORAN OPERATION'!$D$2:$D$1000,$B18&amp;" (Grade A)")</f>
        <v>1.694871</v>
      </c>
      <c r="I18" s="293">
        <f t="shared" si="8"/>
        <v>0</v>
      </c>
      <c r="J18" s="292">
        <f>SUMIFS(INCOMING!$F$2:$F$5000,INCOMING!$C$2:$C$5000,$A18,INCOMING!$D$2:$D$5000,$B18,INCOMING!$B$2:$B$5000,"&gt;="&amp;DATE(2026,10,18),INCOMING!$B$2:$B$5000,"&lt;="&amp;DATE(2026,10,21))</f>
        <v>0</v>
      </c>
      <c r="K18" s="292">
        <f>SUMIFS(OUT!$F$14:$F$5084,OUT!$C$14:$C$5084,$A18,OUT!$D$14:$D$5084,$B18,OUT!$B$14:$B$5084,"&gt;="&amp;DATE(2026,10,18),OUT!$B$14:$B$5084,"&lt;="&amp;DATE(2026,10,21),OUT!$L$14:$L$5084,"&lt;&gt;Adjustment")</f>
        <v>0.30758999999999997</v>
      </c>
      <c r="L18" s="292">
        <f t="shared" si="9"/>
        <v>1.387281</v>
      </c>
      <c r="M18" s="292">
        <f>SUMIFS('LAPORAN OPERATION'!$F$2:$F$1000,'LAPORAN OPERATION'!$A$2:$A$1000,DATE(2026,10,21),'LAPORAN OPERATION'!$B$2:$B$1000,"Balance",'LAPORAN OPERATION'!$C$2:$C$1000,IF($A18="Pine","Pinus",$A18),'LAPORAN OPERATION'!$D$2:$D$1000,$B18)+SUMIFS('LAPORAN OPERATION'!$F$2:$F$1000,'LAPORAN OPERATION'!$A$2:$A$1000,DATE(2026,10,21),'LAPORAN OPERATION'!$B$2:$B$1000,"Balance",'LAPORAN OPERATION'!$C$2:$C$1000,IF($A18="Pine","Pinus",$A18),'LAPORAN OPERATION'!$D$2:$D$1000,$B18&amp;" (Grade A)")</f>
        <v>1.387281</v>
      </c>
      <c r="N18" s="293">
        <f t="shared" si="10"/>
        <v>0</v>
      </c>
      <c r="O18" s="292">
        <f>SUMIFS(INCOMING!$F$2:$F$5000,INCOMING!$C$2:$C$5000,$A18,INCOMING!$D$2:$D$5000,$B18,INCOMING!$B$2:$B$5000,"&gt;="&amp;DATE(2026,10,22),INCOMING!$B$2:$B$5000,"&lt;="&amp;DATE(2026,10,24))</f>
        <v>0</v>
      </c>
      <c r="P18" s="292">
        <f>SUMIFS(OUT!$F$14:$F$5084,OUT!$C$14:$C$5084,$A18,OUT!$D$14:$D$5084,$B18,OUT!$B$14:$B$5084,"&gt;="&amp;DATE(2026,10,22),OUT!$B$14:$B$5084,"&lt;="&amp;DATE(2026,10,24),OUT!$L$14:$L$5084,"&lt;&gt;Adjustment")</f>
        <v>0</v>
      </c>
      <c r="Q18" s="292">
        <f t="shared" si="11"/>
        <v>1.387281</v>
      </c>
      <c r="R18" s="292">
        <f>SUMIFS('LAPORAN OPERATION'!$F$2:$F$1000,'LAPORAN OPERATION'!$A$2:$A$1000,DATE(2026,10,24),'LAPORAN OPERATION'!$B$2:$B$1000,"Count",'LAPORAN OPERATION'!$C$2:$C$1000,IF($A18="Pine","Pinus",$A18),'LAPORAN OPERATION'!$D$2:$D$1000,$B18)+SUMIFS('LAPORAN OPERATION'!$F$2:$F$1000,'LAPORAN OPERATION'!$A$2:$A$1000,DATE(2026,10,24),'LAPORAN OPERATION'!$B$2:$B$1000,"Count",'LAPORAN OPERATION'!$C$2:$C$1000,IF($A18="Pine","Pinus",$A18),'LAPORAN OPERATION'!$D$2:$D$1000,$B18&amp;" (Grade A)")</f>
        <v>1.387281</v>
      </c>
      <c r="S18" s="293">
        <f t="shared" si="12"/>
        <v>0</v>
      </c>
    </row>
    <row r="19" spans="1:19" x14ac:dyDescent="0.25">
      <c r="A19" s="290" t="s">
        <v>15</v>
      </c>
      <c r="B19" s="290">
        <v>3.5</v>
      </c>
      <c r="C19" s="291">
        <v>46310</v>
      </c>
      <c r="D19" s="292">
        <f>SUMIFS('LAPORAN OPERATION'!$F$2:$F$1000,'LAPORAN OPERATION'!$A$2:$A$1000,DATE(2026,10,14),'LAPORAN OPERATION'!$B$2:$B$1000,"Count",'LAPORAN OPERATION'!$C$2:$C$1000,IF($A19="Pine","Pinus",$A19),'LAPORAN OPERATION'!$D$2:$D$1000,$B19)+SUMIFS('LAPORAN OPERATION'!$F$2:$F$1000,'LAPORAN OPERATION'!$A$2:$A$1000,DATE(2026,10,14),'LAPORAN OPERATION'!$B$2:$B$1000,"Count",'LAPORAN OPERATION'!$C$2:$C$1000,IF($A19="Pine","Pinus",$A19),'LAPORAN OPERATION'!$D$2:$D$1000,$B19&amp;" (Grade A)")</f>
        <v>2.7637749999999999</v>
      </c>
      <c r="E19" s="292">
        <f>SUMIFS(INCOMING!$F$2:$F$5000,INCOMING!$C$2:$C$5000,$A19,INCOMING!$D$2:$D$5000,$B19,INCOMING!$B$2:$B$5000,"&gt;="&amp;$C19,INCOMING!$B$2:$B$5000,"&lt;="&amp;DATE(2026,10,17))</f>
        <v>0</v>
      </c>
      <c r="F19" s="292">
        <f>SUMIFS(OUT!$F$14:$F$5084,OUT!$C$14:$C$5084,$A19,OUT!$D$14:$D$5084,$B19,OUT!$B$14:$B$5084,"&gt;="&amp;$C19,OUT!$B$14:$B$5084,"&lt;="&amp;DATE(2026,10,17),OUT!$L$14:$L$5084,"&lt;&gt;Adjustment")</f>
        <v>0</v>
      </c>
      <c r="G19" s="292">
        <f t="shared" si="7"/>
        <v>2.7637749999999999</v>
      </c>
      <c r="H19" s="292">
        <f>SUMIFS('LAPORAN OPERATION'!$F$2:$F$1000,'LAPORAN OPERATION'!$A$2:$A$1000,DATE(2026,10,17),'LAPORAN OPERATION'!$B$2:$B$1000,"Balance",'LAPORAN OPERATION'!$C$2:$C$1000,IF($A19="Pine","Pinus",$A19),'LAPORAN OPERATION'!$D$2:$D$1000,$B19)+SUMIFS('LAPORAN OPERATION'!$F$2:$F$1000,'LAPORAN OPERATION'!$A$2:$A$1000,DATE(2026,10,17),'LAPORAN OPERATION'!$B$2:$B$1000,"Balance",'LAPORAN OPERATION'!$C$2:$C$1000,IF($A19="Pine","Pinus",$A19),'LAPORAN OPERATION'!$D$2:$D$1000,$B19&amp;" (Grade A)")</f>
        <v>2.7637749999999999</v>
      </c>
      <c r="I19" s="293">
        <f t="shared" si="8"/>
        <v>0</v>
      </c>
      <c r="J19" s="292">
        <f>SUMIFS(INCOMING!$F$2:$F$5000,INCOMING!$C$2:$C$5000,$A19,INCOMING!$D$2:$D$5000,$B19,INCOMING!$B$2:$B$5000,"&gt;="&amp;DATE(2026,10,18),INCOMING!$B$2:$B$5000,"&lt;="&amp;DATE(2026,10,21))</f>
        <v>0</v>
      </c>
      <c r="K19" s="292">
        <f>SUMIFS(OUT!$F$14:$F$5084,OUT!$C$14:$C$5084,$A19,OUT!$D$14:$D$5084,$B19,OUT!$B$14:$B$5084,"&gt;="&amp;DATE(2026,10,18),OUT!$B$14:$B$5084,"&lt;="&amp;DATE(2026,10,21),OUT!$L$14:$L$5084,"&lt;&gt;Adjustment")</f>
        <v>0.154</v>
      </c>
      <c r="L19" s="292">
        <f t="shared" si="9"/>
        <v>2.609775</v>
      </c>
      <c r="M19" s="292">
        <f>SUMIFS('LAPORAN OPERATION'!$F$2:$F$1000,'LAPORAN OPERATION'!$A$2:$A$1000,DATE(2026,10,21),'LAPORAN OPERATION'!$B$2:$B$1000,"Balance",'LAPORAN OPERATION'!$C$2:$C$1000,IF($A19="Pine","Pinus",$A19),'LAPORAN OPERATION'!$D$2:$D$1000,$B19)+SUMIFS('LAPORAN OPERATION'!$F$2:$F$1000,'LAPORAN OPERATION'!$A$2:$A$1000,DATE(2026,10,21),'LAPORAN OPERATION'!$B$2:$B$1000,"Balance",'LAPORAN OPERATION'!$C$2:$C$1000,IF($A19="Pine","Pinus",$A19),'LAPORAN OPERATION'!$D$2:$D$1000,$B19&amp;" (Grade A)")</f>
        <v>2.609775</v>
      </c>
      <c r="N19" s="293">
        <f t="shared" si="10"/>
        <v>0</v>
      </c>
      <c r="O19" s="292">
        <f>SUMIFS(INCOMING!$F$2:$F$5000,INCOMING!$C$2:$C$5000,$A19,INCOMING!$D$2:$D$5000,$B19,INCOMING!$B$2:$B$5000,"&gt;="&amp;DATE(2026,10,22),INCOMING!$B$2:$B$5000,"&lt;="&amp;DATE(2026,10,24))</f>
        <v>0</v>
      </c>
      <c r="P19" s="292">
        <f>SUMIFS(OUT!$F$14:$F$5084,OUT!$C$14:$C$5084,$A19,OUT!$D$14:$D$5084,$B19,OUT!$B$14:$B$5084,"&gt;="&amp;DATE(2026,10,22),OUT!$B$14:$B$5084,"&lt;="&amp;DATE(2026,10,24),OUT!$L$14:$L$5084,"&lt;&gt;Adjustment")</f>
        <v>0</v>
      </c>
      <c r="Q19" s="292">
        <f t="shared" si="11"/>
        <v>2.609775</v>
      </c>
      <c r="R19" s="292">
        <f>SUMIFS('LAPORAN OPERATION'!$F$2:$F$1000,'LAPORAN OPERATION'!$A$2:$A$1000,DATE(2026,10,24),'LAPORAN OPERATION'!$B$2:$B$1000,"Count",'LAPORAN OPERATION'!$C$2:$C$1000,IF($A19="Pine","Pinus",$A19),'LAPORAN OPERATION'!$D$2:$D$1000,$B19)+SUMIFS('LAPORAN OPERATION'!$F$2:$F$1000,'LAPORAN OPERATION'!$A$2:$A$1000,DATE(2026,10,24),'LAPORAN OPERATION'!$B$2:$B$1000,"Count",'LAPORAN OPERATION'!$C$2:$C$1000,IF($A19="Pine","Pinus",$A19),'LAPORAN OPERATION'!$D$2:$D$1000,$B19&amp;" (Grade A)")</f>
        <v>2.609775</v>
      </c>
      <c r="S19" s="293">
        <f t="shared" si="12"/>
        <v>0</v>
      </c>
    </row>
    <row r="20" spans="1:19" x14ac:dyDescent="0.25">
      <c r="A20" s="290" t="s">
        <v>15</v>
      </c>
      <c r="B20" s="290">
        <v>4</v>
      </c>
      <c r="C20" s="291">
        <v>46310</v>
      </c>
      <c r="D20" s="292">
        <f>SUMIFS('LAPORAN OPERATION'!$F$2:$F$1000,'LAPORAN OPERATION'!$A$2:$A$1000,DATE(2026,10,14),'LAPORAN OPERATION'!$B$2:$B$1000,"Count",'LAPORAN OPERATION'!$C$2:$C$1000,IF($A20="Pine","Pinus",$A20),'LAPORAN OPERATION'!$D$2:$D$1000,$B20)+SUMIFS('LAPORAN OPERATION'!$F$2:$F$1000,'LAPORAN OPERATION'!$A$2:$A$1000,DATE(2026,10,14),'LAPORAN OPERATION'!$B$2:$B$1000,"Count",'LAPORAN OPERATION'!$C$2:$C$1000,IF($A20="Pine","Pinus",$A20),'LAPORAN OPERATION'!$D$2:$D$1000,$B20&amp;" (Grade A)")</f>
        <v>0.13044</v>
      </c>
      <c r="E20" s="292">
        <f>SUMIFS(INCOMING!$F$2:$F$5000,INCOMING!$C$2:$C$5000,$A20,INCOMING!$D$2:$D$5000,$B20,INCOMING!$B$2:$B$5000,"&gt;="&amp;$C20,INCOMING!$B$2:$B$5000,"&lt;="&amp;DATE(2026,10,17))</f>
        <v>0</v>
      </c>
      <c r="F20" s="292">
        <f>SUMIFS(OUT!$F$14:$F$5084,OUT!$C$14:$C$5084,$A20,OUT!$D$14:$D$5084,$B20,OUT!$B$14:$B$5084,"&gt;="&amp;$C20,OUT!$B$14:$B$5084,"&lt;="&amp;DATE(2026,10,17),OUT!$L$14:$L$5084,"&lt;&gt;Adjustment")</f>
        <v>0</v>
      </c>
      <c r="G20" s="292">
        <f t="shared" si="7"/>
        <v>0.13044</v>
      </c>
      <c r="H20" s="292">
        <f>SUMIFS('LAPORAN OPERATION'!$F$2:$F$1000,'LAPORAN OPERATION'!$A$2:$A$1000,DATE(2026,10,17),'LAPORAN OPERATION'!$B$2:$B$1000,"Balance",'LAPORAN OPERATION'!$C$2:$C$1000,IF($A20="Pine","Pinus",$A20),'LAPORAN OPERATION'!$D$2:$D$1000,$B20)+SUMIFS('LAPORAN OPERATION'!$F$2:$F$1000,'LAPORAN OPERATION'!$A$2:$A$1000,DATE(2026,10,17),'LAPORAN OPERATION'!$B$2:$B$1000,"Balance",'LAPORAN OPERATION'!$C$2:$C$1000,IF($A20="Pine","Pinus",$A20),'LAPORAN OPERATION'!$D$2:$D$1000,$B20&amp;" (Grade A)")</f>
        <v>0.13044</v>
      </c>
      <c r="I20" s="293">
        <f t="shared" si="8"/>
        <v>0</v>
      </c>
      <c r="J20" s="292">
        <f>SUMIFS(INCOMING!$F$2:$F$5000,INCOMING!$C$2:$C$5000,$A20,INCOMING!$D$2:$D$5000,$B20,INCOMING!$B$2:$B$5000,"&gt;="&amp;DATE(2026,10,18),INCOMING!$B$2:$B$5000,"&lt;="&amp;DATE(2026,10,21))</f>
        <v>0</v>
      </c>
      <c r="K20" s="292">
        <f>SUMIFS(OUT!$F$14:$F$5084,OUT!$C$14:$C$5084,$A20,OUT!$D$14:$D$5084,$B20,OUT!$B$14:$B$5084,"&gt;="&amp;DATE(2026,10,18),OUT!$B$14:$B$5084,"&lt;="&amp;DATE(2026,10,21),OUT!$L$14:$L$5084,"&lt;&gt;Adjustment")</f>
        <v>0</v>
      </c>
      <c r="L20" s="292">
        <f t="shared" si="9"/>
        <v>0.13044</v>
      </c>
      <c r="M20" s="292">
        <f>SUMIFS('LAPORAN OPERATION'!$F$2:$F$1000,'LAPORAN OPERATION'!$A$2:$A$1000,DATE(2026,10,21),'LAPORAN OPERATION'!$B$2:$B$1000,"Balance",'LAPORAN OPERATION'!$C$2:$C$1000,IF($A20="Pine","Pinus",$A20),'LAPORAN OPERATION'!$D$2:$D$1000,$B20)+SUMIFS('LAPORAN OPERATION'!$F$2:$F$1000,'LAPORAN OPERATION'!$A$2:$A$1000,DATE(2026,10,21),'LAPORAN OPERATION'!$B$2:$B$1000,"Balance",'LAPORAN OPERATION'!$C$2:$C$1000,IF($A20="Pine","Pinus",$A20),'LAPORAN OPERATION'!$D$2:$D$1000,$B20&amp;" (Grade A)")</f>
        <v>0.13044</v>
      </c>
      <c r="N20" s="293">
        <f t="shared" si="10"/>
        <v>0</v>
      </c>
      <c r="O20" s="292">
        <f>SUMIFS(INCOMING!$F$2:$F$5000,INCOMING!$C$2:$C$5000,$A20,INCOMING!$D$2:$D$5000,$B20,INCOMING!$B$2:$B$5000,"&gt;="&amp;DATE(2026,10,22),INCOMING!$B$2:$B$5000,"&lt;="&amp;DATE(2026,10,24))</f>
        <v>0</v>
      </c>
      <c r="P20" s="292">
        <f>SUMIFS(OUT!$F$14:$F$5084,OUT!$C$14:$C$5084,$A20,OUT!$D$14:$D$5084,$B20,OUT!$B$14:$B$5084,"&gt;="&amp;DATE(2026,10,22),OUT!$B$14:$B$5084,"&lt;="&amp;DATE(2026,10,24),OUT!$L$14:$L$5084,"&lt;&gt;Adjustment")</f>
        <v>4.1680000000000002E-2</v>
      </c>
      <c r="Q20" s="292">
        <f t="shared" si="11"/>
        <v>8.8760000000000006E-2</v>
      </c>
      <c r="R20" s="292">
        <f>SUMIFS('LAPORAN OPERATION'!$F$2:$F$1000,'LAPORAN OPERATION'!$A$2:$A$1000,DATE(2026,10,24),'LAPORAN OPERATION'!$B$2:$B$1000,"Count",'LAPORAN OPERATION'!$C$2:$C$1000,IF($A20="Pine","Pinus",$A20),'LAPORAN OPERATION'!$D$2:$D$1000,$B20)+SUMIFS('LAPORAN OPERATION'!$F$2:$F$1000,'LAPORAN OPERATION'!$A$2:$A$1000,DATE(2026,10,24),'LAPORAN OPERATION'!$B$2:$B$1000,"Count",'LAPORAN OPERATION'!$C$2:$C$1000,IF($A20="Pine","Pinus",$A20),'LAPORAN OPERATION'!$D$2:$D$1000,$B20&amp;" (Grade A)")</f>
        <v>8.8760000000000006E-2</v>
      </c>
      <c r="S20" s="293">
        <f t="shared" si="12"/>
        <v>0</v>
      </c>
    </row>
    <row r="21" spans="1:19" x14ac:dyDescent="0.25">
      <c r="A21" s="290" t="s">
        <v>15</v>
      </c>
      <c r="B21" s="290">
        <v>4.5</v>
      </c>
      <c r="C21" s="291">
        <v>46310</v>
      </c>
      <c r="D21" s="292">
        <f>SUMIFS('LAPORAN OPERATION'!$F$2:$F$1000,'LAPORAN OPERATION'!$A$2:$A$1000,DATE(2026,10,14),'LAPORAN OPERATION'!$B$2:$B$1000,"Count",'LAPORAN OPERATION'!$C$2:$C$1000,IF($A21="Pine","Pinus",$A21),'LAPORAN OPERATION'!$D$2:$D$1000,$B21)+SUMIFS('LAPORAN OPERATION'!$F$2:$F$1000,'LAPORAN OPERATION'!$A$2:$A$1000,DATE(2026,10,14),'LAPORAN OPERATION'!$B$2:$B$1000,"Count",'LAPORAN OPERATION'!$C$2:$C$1000,IF($A21="Pine","Pinus",$A21),'LAPORAN OPERATION'!$D$2:$D$1000,$B21&amp;" (Grade A)")</f>
        <v>0.39424500000000012</v>
      </c>
      <c r="E21" s="292">
        <f>SUMIFS(INCOMING!$F$2:$F$5000,INCOMING!$C$2:$C$5000,$A21,INCOMING!$D$2:$D$5000,$B21,INCOMING!$B$2:$B$5000,"&gt;="&amp;$C21,INCOMING!$B$2:$B$5000,"&lt;="&amp;DATE(2026,10,17))</f>
        <v>0</v>
      </c>
      <c r="F21" s="292">
        <f>SUMIFS(OUT!$F$14:$F$5084,OUT!$C$14:$C$5084,$A21,OUT!$D$14:$D$5084,$B21,OUT!$B$14:$B$5084,"&gt;="&amp;$C21,OUT!$B$14:$B$5084,"&lt;="&amp;DATE(2026,10,17),OUT!$L$14:$L$5084,"&lt;&gt;Adjustment")</f>
        <v>0</v>
      </c>
      <c r="G21" s="292">
        <f t="shared" si="7"/>
        <v>0.39424500000000012</v>
      </c>
      <c r="H21" s="292">
        <f>SUMIFS('LAPORAN OPERATION'!$F$2:$F$1000,'LAPORAN OPERATION'!$A$2:$A$1000,DATE(2026,10,17),'LAPORAN OPERATION'!$B$2:$B$1000,"Balance",'LAPORAN OPERATION'!$C$2:$C$1000,IF($A21="Pine","Pinus",$A21),'LAPORAN OPERATION'!$D$2:$D$1000,$B21)+SUMIFS('LAPORAN OPERATION'!$F$2:$F$1000,'LAPORAN OPERATION'!$A$2:$A$1000,DATE(2026,10,17),'LAPORAN OPERATION'!$B$2:$B$1000,"Balance",'LAPORAN OPERATION'!$C$2:$C$1000,IF($A21="Pine","Pinus",$A21),'LAPORAN OPERATION'!$D$2:$D$1000,$B21&amp;" (Grade A)")</f>
        <v>0.39424500000000012</v>
      </c>
      <c r="I21" s="293">
        <f t="shared" si="8"/>
        <v>0</v>
      </c>
      <c r="J21" s="292">
        <f>SUMIFS(INCOMING!$F$2:$F$5000,INCOMING!$C$2:$C$5000,$A21,INCOMING!$D$2:$D$5000,$B21,INCOMING!$B$2:$B$5000,"&gt;="&amp;DATE(2026,10,18),INCOMING!$B$2:$B$5000,"&lt;="&amp;DATE(2026,10,21))</f>
        <v>0</v>
      </c>
      <c r="K21" s="292">
        <f>SUMIFS(OUT!$F$14:$F$5084,OUT!$C$14:$C$5084,$A21,OUT!$D$14:$D$5084,$B21,OUT!$B$14:$B$5084,"&gt;="&amp;DATE(2026,10,18),OUT!$B$14:$B$5084,"&lt;="&amp;DATE(2026,10,21),OUT!$L$14:$L$5084,"&lt;&gt;Adjustment")</f>
        <v>0</v>
      </c>
      <c r="L21" s="292">
        <f t="shared" si="9"/>
        <v>0.39424500000000012</v>
      </c>
      <c r="M21" s="292">
        <f>SUMIFS('LAPORAN OPERATION'!$F$2:$F$1000,'LAPORAN OPERATION'!$A$2:$A$1000,DATE(2026,10,21),'LAPORAN OPERATION'!$B$2:$B$1000,"Balance",'LAPORAN OPERATION'!$C$2:$C$1000,IF($A21="Pine","Pinus",$A21),'LAPORAN OPERATION'!$D$2:$D$1000,$B21)+SUMIFS('LAPORAN OPERATION'!$F$2:$F$1000,'LAPORAN OPERATION'!$A$2:$A$1000,DATE(2026,10,21),'LAPORAN OPERATION'!$B$2:$B$1000,"Balance",'LAPORAN OPERATION'!$C$2:$C$1000,IF($A21="Pine","Pinus",$A21),'LAPORAN OPERATION'!$D$2:$D$1000,$B21&amp;" (Grade A)")</f>
        <v>0.39424500000000012</v>
      </c>
      <c r="N21" s="293">
        <f t="shared" si="10"/>
        <v>0</v>
      </c>
      <c r="O21" s="292">
        <f>SUMIFS(INCOMING!$F$2:$F$5000,INCOMING!$C$2:$C$5000,$A21,INCOMING!$D$2:$D$5000,$B21,INCOMING!$B$2:$B$5000,"&gt;="&amp;DATE(2026,10,22),INCOMING!$B$2:$B$5000,"&lt;="&amp;DATE(2026,10,24))</f>
        <v>0</v>
      </c>
      <c r="P21" s="292">
        <f>SUMIFS(OUT!$F$14:$F$5084,OUT!$C$14:$C$5084,$A21,OUT!$D$14:$D$5084,$B21,OUT!$B$14:$B$5084,"&gt;="&amp;DATE(2026,10,22),OUT!$B$14:$B$5084,"&lt;="&amp;DATE(2026,10,24),OUT!$L$14:$L$5084,"&lt;&gt;Adjustment")</f>
        <v>0.388575</v>
      </c>
      <c r="Q21" s="292">
        <f t="shared" si="11"/>
        <v>5.6700000000001194E-3</v>
      </c>
      <c r="R21" s="292">
        <f>SUMIFS('LAPORAN OPERATION'!$F$2:$F$1000,'LAPORAN OPERATION'!$A$2:$A$1000,DATE(2026,10,24),'LAPORAN OPERATION'!$B$2:$B$1000,"Count",'LAPORAN OPERATION'!$C$2:$C$1000,IF($A21="Pine","Pinus",$A21),'LAPORAN OPERATION'!$D$2:$D$1000,$B21)+SUMIFS('LAPORAN OPERATION'!$F$2:$F$1000,'LAPORAN OPERATION'!$A$2:$A$1000,DATE(2026,10,24),'LAPORAN OPERATION'!$B$2:$B$1000,"Count",'LAPORAN OPERATION'!$C$2:$C$1000,IF($A21="Pine","Pinus",$A21),'LAPORAN OPERATION'!$D$2:$D$1000,$B21&amp;" (Grade A)")</f>
        <v>5.6700000000000639E-3</v>
      </c>
      <c r="S21" s="293">
        <f t="shared" si="12"/>
        <v>0</v>
      </c>
    </row>
    <row r="22" spans="1:19" x14ac:dyDescent="0.25">
      <c r="A22" s="290" t="s">
        <v>15</v>
      </c>
      <c r="B22" s="290">
        <v>5</v>
      </c>
      <c r="C22" s="291">
        <v>46310</v>
      </c>
      <c r="D22" s="292">
        <f>SUMIFS('LAPORAN OPERATION'!$F$2:$F$1000,'LAPORAN OPERATION'!$A$2:$A$1000,DATE(2026,10,14),'LAPORAN OPERATION'!$B$2:$B$1000,"Count",'LAPORAN OPERATION'!$C$2:$C$1000,IF($A22="Pine","Pinus",$A22),'LAPORAN OPERATION'!$D$2:$D$1000,$B22)+SUMIFS('LAPORAN OPERATION'!$F$2:$F$1000,'LAPORAN OPERATION'!$A$2:$A$1000,DATE(2026,10,14),'LAPORAN OPERATION'!$B$2:$B$1000,"Count",'LAPORAN OPERATION'!$C$2:$C$1000,IF($A22="Pine","Pinus",$A22),'LAPORAN OPERATION'!$D$2:$D$1000,$B22&amp;" (Grade A)")</f>
        <v>0.42830000000000013</v>
      </c>
      <c r="E22" s="292">
        <f>SUMIFS(INCOMING!$F$2:$F$5000,INCOMING!$C$2:$C$5000,$A22,INCOMING!$D$2:$D$5000,$B22,INCOMING!$B$2:$B$5000,"&gt;="&amp;$C22,INCOMING!$B$2:$B$5000,"&lt;="&amp;DATE(2026,10,17))</f>
        <v>0</v>
      </c>
      <c r="F22" s="292">
        <f>SUMIFS(OUT!$F$14:$F$5084,OUT!$C$14:$C$5084,$A22,OUT!$D$14:$D$5084,$B22,OUT!$B$14:$B$5084,"&gt;="&amp;$C22,OUT!$B$14:$B$5084,"&lt;="&amp;DATE(2026,10,17),OUT!$L$14:$L$5084,"&lt;&gt;Adjustment")</f>
        <v>0</v>
      </c>
      <c r="G22" s="292">
        <f t="shared" si="7"/>
        <v>0.42830000000000013</v>
      </c>
      <c r="H22" s="292">
        <f>SUMIFS('LAPORAN OPERATION'!$F$2:$F$1000,'LAPORAN OPERATION'!$A$2:$A$1000,DATE(2026,10,17),'LAPORAN OPERATION'!$B$2:$B$1000,"Balance",'LAPORAN OPERATION'!$C$2:$C$1000,IF($A22="Pine","Pinus",$A22),'LAPORAN OPERATION'!$D$2:$D$1000,$B22)+SUMIFS('LAPORAN OPERATION'!$F$2:$F$1000,'LAPORAN OPERATION'!$A$2:$A$1000,DATE(2026,10,17),'LAPORAN OPERATION'!$B$2:$B$1000,"Balance",'LAPORAN OPERATION'!$C$2:$C$1000,IF($A22="Pine","Pinus",$A22),'LAPORAN OPERATION'!$D$2:$D$1000,$B22&amp;" (Grade A)")</f>
        <v>0.42830000000000013</v>
      </c>
      <c r="I22" s="293">
        <f t="shared" si="8"/>
        <v>0</v>
      </c>
      <c r="J22" s="292">
        <f>SUMIFS(INCOMING!$F$2:$F$5000,INCOMING!$C$2:$C$5000,$A22,INCOMING!$D$2:$D$5000,$B22,INCOMING!$B$2:$B$5000,"&gt;="&amp;DATE(2026,10,18),INCOMING!$B$2:$B$5000,"&lt;="&amp;DATE(2026,10,21))</f>
        <v>0</v>
      </c>
      <c r="K22" s="292">
        <f>SUMIFS(OUT!$F$14:$F$5084,OUT!$C$14:$C$5084,$A22,OUT!$D$14:$D$5084,$B22,OUT!$B$14:$B$5084,"&gt;="&amp;DATE(2026,10,18),OUT!$B$14:$B$5084,"&lt;="&amp;DATE(2026,10,21),OUT!$L$14:$L$5084,"&lt;&gt;Adjustment")</f>
        <v>0</v>
      </c>
      <c r="L22" s="292">
        <f t="shared" si="9"/>
        <v>0.42830000000000013</v>
      </c>
      <c r="M22" s="292">
        <f>SUMIFS('LAPORAN OPERATION'!$F$2:$F$1000,'LAPORAN OPERATION'!$A$2:$A$1000,DATE(2026,10,21),'LAPORAN OPERATION'!$B$2:$B$1000,"Balance",'LAPORAN OPERATION'!$C$2:$C$1000,IF($A22="Pine","Pinus",$A22),'LAPORAN OPERATION'!$D$2:$D$1000,$B22)+SUMIFS('LAPORAN OPERATION'!$F$2:$F$1000,'LAPORAN OPERATION'!$A$2:$A$1000,DATE(2026,10,21),'LAPORAN OPERATION'!$B$2:$B$1000,"Balance",'LAPORAN OPERATION'!$C$2:$C$1000,IF($A22="Pine","Pinus",$A22),'LAPORAN OPERATION'!$D$2:$D$1000,$B22&amp;" (Grade A)")</f>
        <v>0.42830000000000013</v>
      </c>
      <c r="N22" s="293">
        <f t="shared" si="10"/>
        <v>0</v>
      </c>
      <c r="O22" s="292">
        <f>SUMIFS(INCOMING!$F$2:$F$5000,INCOMING!$C$2:$C$5000,$A22,INCOMING!$D$2:$D$5000,$B22,INCOMING!$B$2:$B$5000,"&gt;="&amp;DATE(2026,10,22),INCOMING!$B$2:$B$5000,"&lt;="&amp;DATE(2026,10,24))</f>
        <v>0</v>
      </c>
      <c r="P22" s="292">
        <f>SUMIFS(OUT!$F$14:$F$5084,OUT!$C$14:$C$5084,$A22,OUT!$D$14:$D$5084,$B22,OUT!$B$14:$B$5084,"&gt;="&amp;DATE(2026,10,22),OUT!$B$14:$B$5084,"&lt;="&amp;DATE(2026,10,24),OUT!$L$14:$L$5084,"&lt;&gt;Adjustment")</f>
        <v>0.35364499999999999</v>
      </c>
      <c r="Q22" s="292">
        <f t="shared" si="11"/>
        <v>7.4655000000000138E-2</v>
      </c>
      <c r="R22" s="292">
        <f>SUMIFS('LAPORAN OPERATION'!$F$2:$F$1000,'LAPORAN OPERATION'!$A$2:$A$1000,DATE(2026,10,24),'LAPORAN OPERATION'!$B$2:$B$1000,"Count",'LAPORAN OPERATION'!$C$2:$C$1000,IF($A22="Pine","Pinus",$A22),'LAPORAN OPERATION'!$D$2:$D$1000,$B22)+SUMIFS('LAPORAN OPERATION'!$F$2:$F$1000,'LAPORAN OPERATION'!$A$2:$A$1000,DATE(2026,10,24),'LAPORAN OPERATION'!$B$2:$B$1000,"Count",'LAPORAN OPERATION'!$C$2:$C$1000,IF($A22="Pine","Pinus",$A22),'LAPORAN OPERATION'!$D$2:$D$1000,$B22&amp;" (Grade A)")</f>
        <v>7.4655000000000082E-2</v>
      </c>
      <c r="S22" s="293">
        <f t="shared" si="12"/>
        <v>0</v>
      </c>
    </row>
    <row r="23" spans="1:19" x14ac:dyDescent="0.25">
      <c r="A23" s="290" t="s">
        <v>15</v>
      </c>
      <c r="B23" s="290">
        <v>5.5</v>
      </c>
      <c r="C23" s="291">
        <v>46310</v>
      </c>
      <c r="D23" s="292">
        <f>SUMIFS('LAPORAN OPERATION'!$F$2:$F$1000,'LAPORAN OPERATION'!$A$2:$A$1000,DATE(2026,10,14),'LAPORAN OPERATION'!$B$2:$B$1000,"Count",'LAPORAN OPERATION'!$C$2:$C$1000,IF($A23="Pine","Pinus",$A23),'LAPORAN OPERATION'!$D$2:$D$1000,$B23)+SUMIFS('LAPORAN OPERATION'!$F$2:$F$1000,'LAPORAN OPERATION'!$A$2:$A$1000,DATE(2026,10,14),'LAPORAN OPERATION'!$B$2:$B$1000,"Count",'LAPORAN OPERATION'!$C$2:$C$1000,IF($A23="Pine","Pinus",$A23),'LAPORAN OPERATION'!$D$2:$D$1000,$B23&amp;" (Grade A)")</f>
        <v>0.40001500000000001</v>
      </c>
      <c r="E23" s="292">
        <f>SUMIFS(INCOMING!$F$2:$F$5000,INCOMING!$C$2:$C$5000,$A23,INCOMING!$D$2:$D$5000,$B23,INCOMING!$B$2:$B$5000,"&gt;="&amp;$C23,INCOMING!$B$2:$B$5000,"&lt;="&amp;DATE(2026,10,17))</f>
        <v>0</v>
      </c>
      <c r="F23" s="292">
        <f>SUMIFS(OUT!$F$14:$F$5084,OUT!$C$14:$C$5084,$A23,OUT!$D$14:$D$5084,$B23,OUT!$B$14:$B$5084,"&gt;="&amp;$C23,OUT!$B$14:$B$5084,"&lt;="&amp;DATE(2026,10,17),OUT!$L$14:$L$5084,"&lt;&gt;Adjustment")</f>
        <v>0</v>
      </c>
      <c r="G23" s="292">
        <f t="shared" si="7"/>
        <v>0.40001500000000001</v>
      </c>
      <c r="H23" s="292">
        <f>SUMIFS('LAPORAN OPERATION'!$F$2:$F$1000,'LAPORAN OPERATION'!$A$2:$A$1000,DATE(2026,10,17),'LAPORAN OPERATION'!$B$2:$B$1000,"Balance",'LAPORAN OPERATION'!$C$2:$C$1000,IF($A23="Pine","Pinus",$A23),'LAPORAN OPERATION'!$D$2:$D$1000,$B23)+SUMIFS('LAPORAN OPERATION'!$F$2:$F$1000,'LAPORAN OPERATION'!$A$2:$A$1000,DATE(2026,10,17),'LAPORAN OPERATION'!$B$2:$B$1000,"Balance",'LAPORAN OPERATION'!$C$2:$C$1000,IF($A23="Pine","Pinus",$A23),'LAPORAN OPERATION'!$D$2:$D$1000,$B23&amp;" (Grade A)")</f>
        <v>0.40001500000000001</v>
      </c>
      <c r="I23" s="293">
        <f t="shared" si="8"/>
        <v>0</v>
      </c>
      <c r="J23" s="292">
        <f>SUMIFS(INCOMING!$F$2:$F$5000,INCOMING!$C$2:$C$5000,$A23,INCOMING!$D$2:$D$5000,$B23,INCOMING!$B$2:$B$5000,"&gt;="&amp;DATE(2026,10,18),INCOMING!$B$2:$B$5000,"&lt;="&amp;DATE(2026,10,21))</f>
        <v>0</v>
      </c>
      <c r="K23" s="292">
        <f>SUMIFS(OUT!$F$14:$F$5084,OUT!$C$14:$C$5084,$A23,OUT!$D$14:$D$5084,$B23,OUT!$B$14:$B$5084,"&gt;="&amp;DATE(2026,10,18),OUT!$B$14:$B$5084,"&lt;="&amp;DATE(2026,10,21),OUT!$L$14:$L$5084,"&lt;&gt;Adjustment")</f>
        <v>0</v>
      </c>
      <c r="L23" s="292">
        <f t="shared" si="9"/>
        <v>0.40001500000000001</v>
      </c>
      <c r="M23" s="292">
        <f>SUMIFS('LAPORAN OPERATION'!$F$2:$F$1000,'LAPORAN OPERATION'!$A$2:$A$1000,DATE(2026,10,21),'LAPORAN OPERATION'!$B$2:$B$1000,"Balance",'LAPORAN OPERATION'!$C$2:$C$1000,IF($A23="Pine","Pinus",$A23),'LAPORAN OPERATION'!$D$2:$D$1000,$B23)+SUMIFS('LAPORAN OPERATION'!$F$2:$F$1000,'LAPORAN OPERATION'!$A$2:$A$1000,DATE(2026,10,21),'LAPORAN OPERATION'!$B$2:$B$1000,"Balance",'LAPORAN OPERATION'!$C$2:$C$1000,IF($A23="Pine","Pinus",$A23),'LAPORAN OPERATION'!$D$2:$D$1000,$B23&amp;" (Grade A)")</f>
        <v>0.40001500000000001</v>
      </c>
      <c r="N23" s="293">
        <f t="shared" si="10"/>
        <v>0</v>
      </c>
      <c r="O23" s="292">
        <f>SUMIFS(INCOMING!$F$2:$F$5000,INCOMING!$C$2:$C$5000,$A23,INCOMING!$D$2:$D$5000,$B23,INCOMING!$B$2:$B$5000,"&gt;="&amp;DATE(2026,10,22),INCOMING!$B$2:$B$5000,"&lt;="&amp;DATE(2026,10,24))</f>
        <v>0</v>
      </c>
      <c r="P23" s="292">
        <f>SUMIFS(OUT!$F$14:$F$5084,OUT!$C$14:$C$5084,$A23,OUT!$D$14:$D$5084,$B23,OUT!$B$14:$B$5084,"&gt;="&amp;DATE(2026,10,22),OUT!$B$14:$B$5084,"&lt;="&amp;DATE(2026,10,24),OUT!$L$14:$L$5084,"&lt;&gt;Adjustment")</f>
        <v>0.29496499999999998</v>
      </c>
      <c r="Q23" s="292">
        <f t="shared" si="11"/>
        <v>0.10505000000000003</v>
      </c>
      <c r="R23" s="292">
        <f>SUMIFS('LAPORAN OPERATION'!$F$2:$F$1000,'LAPORAN OPERATION'!$A$2:$A$1000,DATE(2026,10,24),'LAPORAN OPERATION'!$B$2:$B$1000,"Count",'LAPORAN OPERATION'!$C$2:$C$1000,IF($A23="Pine","Pinus",$A23),'LAPORAN OPERATION'!$D$2:$D$1000,$B23)+SUMIFS('LAPORAN OPERATION'!$F$2:$F$1000,'LAPORAN OPERATION'!$A$2:$A$1000,DATE(2026,10,24),'LAPORAN OPERATION'!$B$2:$B$1000,"Count",'LAPORAN OPERATION'!$C$2:$C$1000,IF($A23="Pine","Pinus",$A23),'LAPORAN OPERATION'!$D$2:$D$1000,$B23&amp;" (Grade A)")</f>
        <v>0.10505</v>
      </c>
      <c r="S23" s="293">
        <f t="shared" si="12"/>
        <v>0</v>
      </c>
    </row>
    <row r="24" spans="1:19" x14ac:dyDescent="0.25">
      <c r="A24" s="290" t="s">
        <v>15</v>
      </c>
      <c r="B24" s="290">
        <v>7.5</v>
      </c>
      <c r="C24" s="291">
        <v>46310</v>
      </c>
      <c r="D24" s="292">
        <f>SUMIFS('LAPORAN OPERATION'!$F$2:$F$1000,'LAPORAN OPERATION'!$A$2:$A$1000,DATE(2026,10,14),'LAPORAN OPERATION'!$B$2:$B$1000,"Count",'LAPORAN OPERATION'!$C$2:$C$1000,IF($A24="Pine","Pinus",$A24),'LAPORAN OPERATION'!$D$2:$D$1000,$B24)+SUMIFS('LAPORAN OPERATION'!$F$2:$F$1000,'LAPORAN OPERATION'!$A$2:$A$1000,DATE(2026,10,14),'LAPORAN OPERATION'!$B$2:$B$1000,"Count",'LAPORAN OPERATION'!$C$2:$C$1000,IF($A24="Pine","Pinus",$A24),'LAPORAN OPERATION'!$D$2:$D$1000,$B24&amp;" (Grade A)")</f>
        <v>2.7184499999999998</v>
      </c>
      <c r="E24" s="292">
        <f>SUMIFS(INCOMING!$F$2:$F$5000,INCOMING!$C$2:$C$5000,$A24,INCOMING!$D$2:$D$5000,$B24,INCOMING!$B$2:$B$5000,"&gt;="&amp;$C24,INCOMING!$B$2:$B$5000,"&lt;="&amp;DATE(2026,10,17))</f>
        <v>0</v>
      </c>
      <c r="F24" s="292">
        <f>SUMIFS(OUT!$F$14:$F$5084,OUT!$C$14:$C$5084,$A24,OUT!$D$14:$D$5084,$B24,OUT!$B$14:$B$5084,"&gt;="&amp;$C24,OUT!$B$14:$B$5084,"&lt;="&amp;DATE(2026,10,17),OUT!$L$14:$L$5084,"&lt;&gt;Adjustment")</f>
        <v>0</v>
      </c>
      <c r="G24" s="292">
        <f t="shared" si="7"/>
        <v>2.7184499999999998</v>
      </c>
      <c r="H24" s="292">
        <f>SUMIFS('LAPORAN OPERATION'!$F$2:$F$1000,'LAPORAN OPERATION'!$A$2:$A$1000,DATE(2026,10,17),'LAPORAN OPERATION'!$B$2:$B$1000,"Balance",'LAPORAN OPERATION'!$C$2:$C$1000,IF($A24="Pine","Pinus",$A24),'LAPORAN OPERATION'!$D$2:$D$1000,$B24)+SUMIFS('LAPORAN OPERATION'!$F$2:$F$1000,'LAPORAN OPERATION'!$A$2:$A$1000,DATE(2026,10,17),'LAPORAN OPERATION'!$B$2:$B$1000,"Balance",'LAPORAN OPERATION'!$C$2:$C$1000,IF($A24="Pine","Pinus",$A24),'LAPORAN OPERATION'!$D$2:$D$1000,$B24&amp;" (Grade A)")</f>
        <v>2.7184499999999998</v>
      </c>
      <c r="I24" s="293">
        <f t="shared" si="8"/>
        <v>0</v>
      </c>
      <c r="J24" s="292">
        <f>SUMIFS(INCOMING!$F$2:$F$5000,INCOMING!$C$2:$C$5000,$A24,INCOMING!$D$2:$D$5000,$B24,INCOMING!$B$2:$B$5000,"&gt;="&amp;DATE(2026,10,18),INCOMING!$B$2:$B$5000,"&lt;="&amp;DATE(2026,10,21))</f>
        <v>0</v>
      </c>
      <c r="K24" s="292">
        <f>SUMIFS(OUT!$F$14:$F$5084,OUT!$C$14:$C$5084,$A24,OUT!$D$14:$D$5084,$B24,OUT!$B$14:$B$5084,"&gt;="&amp;DATE(2026,10,18),OUT!$B$14:$B$5084,"&lt;="&amp;DATE(2026,10,21),OUT!$L$14:$L$5084,"&lt;&gt;Adjustment")</f>
        <v>0</v>
      </c>
      <c r="L24" s="292">
        <f t="shared" si="9"/>
        <v>2.7184499999999998</v>
      </c>
      <c r="M24" s="292">
        <f>SUMIFS('LAPORAN OPERATION'!$F$2:$F$1000,'LAPORAN OPERATION'!$A$2:$A$1000,DATE(2026,10,21),'LAPORAN OPERATION'!$B$2:$B$1000,"Balance",'LAPORAN OPERATION'!$C$2:$C$1000,IF($A24="Pine","Pinus",$A24),'LAPORAN OPERATION'!$D$2:$D$1000,$B24)+SUMIFS('LAPORAN OPERATION'!$F$2:$F$1000,'LAPORAN OPERATION'!$A$2:$A$1000,DATE(2026,10,21),'LAPORAN OPERATION'!$B$2:$B$1000,"Balance",'LAPORAN OPERATION'!$C$2:$C$1000,IF($A24="Pine","Pinus",$A24),'LAPORAN OPERATION'!$D$2:$D$1000,$B24&amp;" (Grade A)")</f>
        <v>2.7184499999999998</v>
      </c>
      <c r="N24" s="293">
        <f t="shared" si="10"/>
        <v>0</v>
      </c>
      <c r="O24" s="292">
        <f>SUMIFS(INCOMING!$F$2:$F$5000,INCOMING!$C$2:$C$5000,$A24,INCOMING!$D$2:$D$5000,$B24,INCOMING!$B$2:$B$5000,"&gt;="&amp;DATE(2026,10,22),INCOMING!$B$2:$B$5000,"&lt;="&amp;DATE(2026,10,24))</f>
        <v>0</v>
      </c>
      <c r="P24" s="292">
        <f>SUMIFS(OUT!$F$14:$F$5084,OUT!$C$14:$C$5084,$A24,OUT!$D$14:$D$5084,$B24,OUT!$B$14:$B$5084,"&gt;="&amp;DATE(2026,10,22),OUT!$B$14:$B$5084,"&lt;="&amp;DATE(2026,10,24),OUT!$L$14:$L$5084,"&lt;&gt;Adjustment")</f>
        <v>0.68062500000000004</v>
      </c>
      <c r="Q24" s="292">
        <f t="shared" si="11"/>
        <v>2.0378249999999998</v>
      </c>
      <c r="R24" s="292">
        <f>SUMIFS('LAPORAN OPERATION'!$F$2:$F$1000,'LAPORAN OPERATION'!$A$2:$A$1000,DATE(2026,10,24),'LAPORAN OPERATION'!$B$2:$B$1000,"Count",'LAPORAN OPERATION'!$C$2:$C$1000,IF($A24="Pine","Pinus",$A24),'LAPORAN OPERATION'!$D$2:$D$1000,$B24)+SUMIFS('LAPORAN OPERATION'!$F$2:$F$1000,'LAPORAN OPERATION'!$A$2:$A$1000,DATE(2026,10,24),'LAPORAN OPERATION'!$B$2:$B$1000,"Count",'LAPORAN OPERATION'!$C$2:$C$1000,IF($A24="Pine","Pinus",$A24),'LAPORAN OPERATION'!$D$2:$D$1000,$B24&amp;" (Grade A)")</f>
        <v>2.0378250000000002</v>
      </c>
      <c r="S24" s="293">
        <f t="shared" si="12"/>
        <v>0</v>
      </c>
    </row>
    <row r="25" spans="1:19" x14ac:dyDescent="0.25">
      <c r="A25" s="290" t="s">
        <v>15</v>
      </c>
      <c r="B25" s="290">
        <v>8</v>
      </c>
      <c r="C25" s="291">
        <v>46310</v>
      </c>
      <c r="D25" s="292">
        <f>SUMIFS('LAPORAN OPERATION'!$F$2:$F$1000,'LAPORAN OPERATION'!$A$2:$A$1000,DATE(2026,10,14),'LAPORAN OPERATION'!$B$2:$B$1000,"Count",'LAPORAN OPERATION'!$C$2:$C$1000,IF($A25="Pine","Pinus",$A25),'LAPORAN OPERATION'!$D$2:$D$1000,$B25)+SUMIFS('LAPORAN OPERATION'!$F$2:$F$1000,'LAPORAN OPERATION'!$A$2:$A$1000,DATE(2026,10,14),'LAPORAN OPERATION'!$B$2:$B$1000,"Count",'LAPORAN OPERATION'!$C$2:$C$1000,IF($A25="Pine","Pinus",$A25),'LAPORAN OPERATION'!$D$2:$D$1000,$B25&amp;" (Grade A)")</f>
        <v>3.76424</v>
      </c>
      <c r="E25" s="292">
        <f>SUMIFS(INCOMING!$F$2:$F$5000,INCOMING!$C$2:$C$5000,$A25,INCOMING!$D$2:$D$5000,$B25,INCOMING!$B$2:$B$5000,"&gt;="&amp;$C25,INCOMING!$B$2:$B$5000,"&lt;="&amp;DATE(2026,10,17))</f>
        <v>0</v>
      </c>
      <c r="F25" s="292">
        <f>SUMIFS(OUT!$F$14:$F$5084,OUT!$C$14:$C$5084,$A25,OUT!$D$14:$D$5084,$B25,OUT!$B$14:$B$5084,"&gt;="&amp;$C25,OUT!$B$14:$B$5084,"&lt;="&amp;DATE(2026,10,17),OUT!$L$14:$L$5084,"&lt;&gt;Adjustment")</f>
        <v>0</v>
      </c>
      <c r="G25" s="292">
        <f t="shared" si="7"/>
        <v>3.76424</v>
      </c>
      <c r="H25" s="292">
        <f>SUMIFS('LAPORAN OPERATION'!$F$2:$F$1000,'LAPORAN OPERATION'!$A$2:$A$1000,DATE(2026,10,17),'LAPORAN OPERATION'!$B$2:$B$1000,"Balance",'LAPORAN OPERATION'!$C$2:$C$1000,IF($A25="Pine","Pinus",$A25),'LAPORAN OPERATION'!$D$2:$D$1000,$B25)+SUMIFS('LAPORAN OPERATION'!$F$2:$F$1000,'LAPORAN OPERATION'!$A$2:$A$1000,DATE(2026,10,17),'LAPORAN OPERATION'!$B$2:$B$1000,"Balance",'LAPORAN OPERATION'!$C$2:$C$1000,IF($A25="Pine","Pinus",$A25),'LAPORAN OPERATION'!$D$2:$D$1000,$B25&amp;" (Grade A)")</f>
        <v>3.76424</v>
      </c>
      <c r="I25" s="293">
        <f t="shared" si="8"/>
        <v>0</v>
      </c>
      <c r="J25" s="292">
        <f>SUMIFS(INCOMING!$F$2:$F$5000,INCOMING!$C$2:$C$5000,$A25,INCOMING!$D$2:$D$5000,$B25,INCOMING!$B$2:$B$5000,"&gt;="&amp;DATE(2026,10,18),INCOMING!$B$2:$B$5000,"&lt;="&amp;DATE(2026,10,21))</f>
        <v>0</v>
      </c>
      <c r="K25" s="292">
        <f>SUMIFS(OUT!$F$14:$F$5084,OUT!$C$14:$C$5084,$A25,OUT!$D$14:$D$5084,$B25,OUT!$B$14:$B$5084,"&gt;="&amp;DATE(2026,10,18),OUT!$B$14:$B$5084,"&lt;="&amp;DATE(2026,10,21),OUT!$L$14:$L$5084,"&lt;&gt;Adjustment")</f>
        <v>0</v>
      </c>
      <c r="L25" s="292">
        <f t="shared" si="9"/>
        <v>3.76424</v>
      </c>
      <c r="M25" s="292">
        <f>SUMIFS('LAPORAN OPERATION'!$F$2:$F$1000,'LAPORAN OPERATION'!$A$2:$A$1000,DATE(2026,10,21),'LAPORAN OPERATION'!$B$2:$B$1000,"Balance",'LAPORAN OPERATION'!$C$2:$C$1000,IF($A25="Pine","Pinus",$A25),'LAPORAN OPERATION'!$D$2:$D$1000,$B25)+SUMIFS('LAPORAN OPERATION'!$F$2:$F$1000,'LAPORAN OPERATION'!$A$2:$A$1000,DATE(2026,10,21),'LAPORAN OPERATION'!$B$2:$B$1000,"Balance",'LAPORAN OPERATION'!$C$2:$C$1000,IF($A25="Pine","Pinus",$A25),'LAPORAN OPERATION'!$D$2:$D$1000,$B25&amp;" (Grade A)")</f>
        <v>3.76424</v>
      </c>
      <c r="N25" s="293">
        <f t="shared" si="10"/>
        <v>0</v>
      </c>
      <c r="O25" s="292">
        <f>SUMIFS(INCOMING!$F$2:$F$5000,INCOMING!$C$2:$C$5000,$A25,INCOMING!$D$2:$D$5000,$B25,INCOMING!$B$2:$B$5000,"&gt;="&amp;DATE(2026,10,22),INCOMING!$B$2:$B$5000,"&lt;="&amp;DATE(2026,10,24))</f>
        <v>0</v>
      </c>
      <c r="P25" s="292">
        <f>SUMIFS(OUT!$F$14:$F$5084,OUT!$C$14:$C$5084,$A25,OUT!$D$14:$D$5084,$B25,OUT!$B$14:$B$5084,"&gt;="&amp;DATE(2026,10,22),OUT!$B$14:$B$5084,"&lt;="&amp;DATE(2026,10,24),OUT!$L$14:$L$5084,"&lt;&gt;Adjustment")</f>
        <v>0.22136</v>
      </c>
      <c r="Q25" s="292">
        <f t="shared" si="11"/>
        <v>3.5428800000000003</v>
      </c>
      <c r="R25" s="292">
        <f>SUMIFS('LAPORAN OPERATION'!$F$2:$F$1000,'LAPORAN OPERATION'!$A$2:$A$1000,DATE(2026,10,24),'LAPORAN OPERATION'!$B$2:$B$1000,"Count",'LAPORAN OPERATION'!$C$2:$C$1000,IF($A25="Pine","Pinus",$A25),'LAPORAN OPERATION'!$D$2:$D$1000,$B25)+SUMIFS('LAPORAN OPERATION'!$F$2:$F$1000,'LAPORAN OPERATION'!$A$2:$A$1000,DATE(2026,10,24),'LAPORAN OPERATION'!$B$2:$B$1000,"Count",'LAPORAN OPERATION'!$C$2:$C$1000,IF($A25="Pine","Pinus",$A25),'LAPORAN OPERATION'!$D$2:$D$1000,$B25&amp;" (Grade A)")</f>
        <v>3.5428799999999998</v>
      </c>
      <c r="S25" s="293">
        <f t="shared" si="12"/>
        <v>0</v>
      </c>
    </row>
    <row r="26" spans="1:19" x14ac:dyDescent="0.25">
      <c r="A26" s="294" t="s">
        <v>16</v>
      </c>
      <c r="B26" s="294"/>
      <c r="C26" s="294"/>
      <c r="D26" s="295">
        <f t="shared" ref="D26:S26" si="13">SUM(D17:D25)</f>
        <v>12.372561000000001</v>
      </c>
      <c r="E26" s="295">
        <f t="shared" si="13"/>
        <v>0</v>
      </c>
      <c r="F26" s="295">
        <f t="shared" si="13"/>
        <v>0</v>
      </c>
      <c r="G26" s="295">
        <f t="shared" si="13"/>
        <v>12.372561000000001</v>
      </c>
      <c r="H26" s="295">
        <f t="shared" si="13"/>
        <v>12.372561000000001</v>
      </c>
      <c r="I26" s="295">
        <f t="shared" si="13"/>
        <v>0</v>
      </c>
      <c r="J26" s="295">
        <f t="shared" si="13"/>
        <v>0</v>
      </c>
      <c r="K26" s="295">
        <f t="shared" si="13"/>
        <v>0.46158999999999994</v>
      </c>
      <c r="L26" s="295">
        <f t="shared" si="13"/>
        <v>11.910971</v>
      </c>
      <c r="M26" s="295">
        <f t="shared" si="13"/>
        <v>11.910971</v>
      </c>
      <c r="N26" s="295">
        <f t="shared" si="13"/>
        <v>0</v>
      </c>
      <c r="O26" s="295">
        <f t="shared" si="13"/>
        <v>0</v>
      </c>
      <c r="P26" s="295">
        <f t="shared" si="13"/>
        <v>1.98085</v>
      </c>
      <c r="Q26" s="295">
        <f t="shared" si="13"/>
        <v>9.9301209999999998</v>
      </c>
      <c r="R26" s="295">
        <f t="shared" si="13"/>
        <v>9.9301210000000015</v>
      </c>
      <c r="S26" s="295">
        <f t="shared" si="13"/>
        <v>0</v>
      </c>
    </row>
    <row r="28" spans="1:19" x14ac:dyDescent="0.25">
      <c r="A28" s="290" t="s">
        <v>17</v>
      </c>
      <c r="B28" s="290">
        <v>2.5</v>
      </c>
      <c r="C28" s="291">
        <v>46309</v>
      </c>
      <c r="D28" s="292">
        <f>SUMIFS('LAPORAN OPERATION'!$F$2:$F$1000,'LAPORAN OPERATION'!$A$2:$A$1000,DATE(2026,10,14),'LAPORAN OPERATION'!$B$2:$B$1000,"Count",'LAPORAN OPERATION'!$C$2:$C$1000,IF($A28="Pine","Pinus",$A28),'LAPORAN OPERATION'!$D$2:$D$1000,$B28)+SUMIFS('LAPORAN OPERATION'!$F$2:$F$1000,'LAPORAN OPERATION'!$A$2:$A$1000,DATE(2026,10,14),'LAPORAN OPERATION'!$B$2:$B$1000,"Count",'LAPORAN OPERATION'!$C$2:$C$1000,IF($A28="Pine","Pinus",$A28),'LAPORAN OPERATION'!$D$2:$D$1000,$B28&amp;" (Grade A)")</f>
        <v>4.8779999999999983E-2</v>
      </c>
      <c r="E28" s="292">
        <f>SUMIFS(INCOMING!$F$2:$F$5000,INCOMING!$C$2:$C$5000,$A28,INCOMING!$D$2:$D$5000,$B28,INCOMING!$B$2:$B$5000,"&gt;="&amp;$C28,INCOMING!$B$2:$B$5000,"&lt;="&amp;DATE(2026,10,17))</f>
        <v>0</v>
      </c>
      <c r="F28" s="292">
        <f>SUMIFS(OUT!$F$14:$F$5084,OUT!$C$14:$C$5084,$A28,OUT!$D$14:$D$5084,$B28,OUT!$B$14:$B$5084,"&gt;="&amp;$C28,OUT!$B$14:$B$5084,"&lt;="&amp;DATE(2026,10,17),OUT!$L$14:$L$5084,"&lt;&gt;Adjustment")</f>
        <v>1.4274999999999999E-2</v>
      </c>
      <c r="G28" s="292">
        <f>D28+E28-F28</f>
        <v>3.450499999999998E-2</v>
      </c>
      <c r="H28" s="292">
        <f>SUMIFS('LAPORAN OPERATION'!$F$2:$F$1000,'LAPORAN OPERATION'!$A$2:$A$1000,DATE(2026,10,17),'LAPORAN OPERATION'!$B$2:$B$1000,"Balance",'LAPORAN OPERATION'!$C$2:$C$1000,IF($A28="Pine","Pinus",$A28),'LAPORAN OPERATION'!$D$2:$D$1000,$B28)+SUMIFS('LAPORAN OPERATION'!$F$2:$F$1000,'LAPORAN OPERATION'!$A$2:$A$1000,DATE(2026,10,17),'LAPORAN OPERATION'!$B$2:$B$1000,"Balance",'LAPORAN OPERATION'!$C$2:$C$1000,IF($A28="Pine","Pinus",$A28),'LAPORAN OPERATION'!$D$2:$D$1000,$B28&amp;" (Grade A)")</f>
        <v>3.4504999999999973E-2</v>
      </c>
      <c r="I28" s="293">
        <f>ROUND(G28-H28,6)</f>
        <v>0</v>
      </c>
      <c r="J28" s="292">
        <f>SUMIFS(INCOMING!$F$2:$F$5000,INCOMING!$C$2:$C$5000,$A28,INCOMING!$D$2:$D$5000,$B28,INCOMING!$B$2:$B$5000,"&gt;="&amp;DATE(2026,10,18),INCOMING!$B$2:$B$5000,"&lt;="&amp;DATE(2026,10,21))</f>
        <v>0</v>
      </c>
      <c r="K28" s="292">
        <f>SUMIFS(OUT!$F$14:$F$5084,OUT!$C$14:$C$5084,$A28,OUT!$D$14:$D$5084,$B28,OUT!$B$14:$B$5084,"&gt;="&amp;DATE(2026,10,18),OUT!$B$14:$B$5084,"&lt;="&amp;DATE(2026,10,21),OUT!$L$14:$L$5084,"&lt;&gt;Adjustment")</f>
        <v>0</v>
      </c>
      <c r="L28" s="292">
        <f>G28+J28-K28</f>
        <v>3.450499999999998E-2</v>
      </c>
      <c r="M28" s="292">
        <f>SUMIFS('LAPORAN OPERATION'!$F$2:$F$1000,'LAPORAN OPERATION'!$A$2:$A$1000,DATE(2026,10,21),'LAPORAN OPERATION'!$B$2:$B$1000,"Balance",'LAPORAN OPERATION'!$C$2:$C$1000,IF($A28="Pine","Pinus",$A28),'LAPORAN OPERATION'!$D$2:$D$1000,$B28)+SUMIFS('LAPORAN OPERATION'!$F$2:$F$1000,'LAPORAN OPERATION'!$A$2:$A$1000,DATE(2026,10,21),'LAPORAN OPERATION'!$B$2:$B$1000,"Balance",'LAPORAN OPERATION'!$C$2:$C$1000,IF($A28="Pine","Pinus",$A28),'LAPORAN OPERATION'!$D$2:$D$1000,$B28&amp;" (Grade A)")</f>
        <v>3.4504999999999973E-2</v>
      </c>
      <c r="N28" s="293">
        <f>ROUND(L28-M28,6)</f>
        <v>0</v>
      </c>
      <c r="O28" s="292">
        <f>SUMIFS(INCOMING!$F$2:$F$5000,INCOMING!$C$2:$C$5000,$A28,INCOMING!$D$2:$D$5000,$B28,INCOMING!$B$2:$B$5000,"&gt;="&amp;DATE(2026,10,22),INCOMING!$B$2:$B$5000,"&lt;="&amp;DATE(2026,10,24))</f>
        <v>0</v>
      </c>
      <c r="P28" s="292">
        <f>SUMIFS(OUT!$F$14:$F$5084,OUT!$C$14:$C$5084,$A28,OUT!$D$14:$D$5084,$B28,OUT!$B$14:$B$5084,"&gt;="&amp;DATE(2026,10,22),OUT!$B$14:$B$5084,"&lt;="&amp;DATE(2026,10,24),OUT!$L$14:$L$5084,"&lt;&gt;Adjustment")</f>
        <v>0</v>
      </c>
      <c r="Q28" s="292">
        <f>L28+O28-P28</f>
        <v>3.450499999999998E-2</v>
      </c>
      <c r="R28" s="292">
        <f>SUMIFS('LAPORAN OPERATION'!$F$2:$F$1000,'LAPORAN OPERATION'!$A$2:$A$1000,DATE(2026,10,24),'LAPORAN OPERATION'!$B$2:$B$1000,"Count",'LAPORAN OPERATION'!$C$2:$C$1000,IF($A28="Pine","Pinus",$A28),'LAPORAN OPERATION'!$D$2:$D$1000,$B28)+SUMIFS('LAPORAN OPERATION'!$F$2:$F$1000,'LAPORAN OPERATION'!$A$2:$A$1000,DATE(2026,10,24),'LAPORAN OPERATION'!$B$2:$B$1000,"Count",'LAPORAN OPERATION'!$C$2:$C$1000,IF($A28="Pine","Pinus",$A28),'LAPORAN OPERATION'!$D$2:$D$1000,$B28&amp;" (Grade A)")</f>
        <v>3.4504999999999973E-2</v>
      </c>
      <c r="S28" s="293">
        <f>ROUND(Q28-R28,6)</f>
        <v>0</v>
      </c>
    </row>
    <row r="29" spans="1:19" x14ac:dyDescent="0.25">
      <c r="A29" s="290" t="s">
        <v>17</v>
      </c>
      <c r="B29" s="290">
        <v>3.5</v>
      </c>
      <c r="C29" s="291">
        <v>46309</v>
      </c>
      <c r="D29" s="292">
        <f>SUMIFS('LAPORAN OPERATION'!$F$2:$F$1000,'LAPORAN OPERATION'!$A$2:$A$1000,DATE(2026,10,14),'LAPORAN OPERATION'!$B$2:$B$1000,"Count",'LAPORAN OPERATION'!$C$2:$C$1000,IF($A29="Pine","Pinus",$A29),'LAPORAN OPERATION'!$D$2:$D$1000,$B29)+SUMIFS('LAPORAN OPERATION'!$F$2:$F$1000,'LAPORAN OPERATION'!$A$2:$A$1000,DATE(2026,10,14),'LAPORAN OPERATION'!$B$2:$B$1000,"Count",'LAPORAN OPERATION'!$C$2:$C$1000,IF($A29="Pine","Pinus",$A29),'LAPORAN OPERATION'!$D$2:$D$1000,$B29&amp;" (Grade A)")</f>
        <v>8.7674999999999614E-2</v>
      </c>
      <c r="E29" s="292">
        <f>SUMIFS(INCOMING!$F$2:$F$5000,INCOMING!$C$2:$C$5000,$A29,INCOMING!$D$2:$D$5000,$B29,INCOMING!$B$2:$B$5000,"&gt;="&amp;$C29,INCOMING!$B$2:$B$5000,"&lt;="&amp;DATE(2026,10,17))</f>
        <v>0</v>
      </c>
      <c r="F29" s="292">
        <f>SUMIFS(OUT!$F$14:$F$5084,OUT!$C$14:$C$5084,$A29,OUT!$D$14:$D$5084,$B29,OUT!$B$14:$B$5084,"&gt;="&amp;$C29,OUT!$B$14:$B$5084,"&lt;="&amp;DATE(2026,10,17),OUT!$L$14:$L$5084,"&lt;&gt;Adjustment")</f>
        <v>0</v>
      </c>
      <c r="G29" s="292">
        <f>D29+E29-F29</f>
        <v>8.7674999999999614E-2</v>
      </c>
      <c r="H29" s="292">
        <f>SUMIFS('LAPORAN OPERATION'!$F$2:$F$1000,'LAPORAN OPERATION'!$A$2:$A$1000,DATE(2026,10,17),'LAPORAN OPERATION'!$B$2:$B$1000,"Balance",'LAPORAN OPERATION'!$C$2:$C$1000,IF($A29="Pine","Pinus",$A29),'LAPORAN OPERATION'!$D$2:$D$1000,$B29)+SUMIFS('LAPORAN OPERATION'!$F$2:$F$1000,'LAPORAN OPERATION'!$A$2:$A$1000,DATE(2026,10,17),'LAPORAN OPERATION'!$B$2:$B$1000,"Balance",'LAPORAN OPERATION'!$C$2:$C$1000,IF($A29="Pine","Pinus",$A29),'LAPORAN OPERATION'!$D$2:$D$1000,$B29&amp;" (Grade A)")</f>
        <v>8.7674999999999614E-2</v>
      </c>
      <c r="I29" s="293">
        <f>ROUND(G29-H29,6)</f>
        <v>0</v>
      </c>
      <c r="J29" s="292">
        <f>SUMIFS(INCOMING!$F$2:$F$5000,INCOMING!$C$2:$C$5000,$A29,INCOMING!$D$2:$D$5000,$B29,INCOMING!$B$2:$B$5000,"&gt;="&amp;DATE(2026,10,18),INCOMING!$B$2:$B$5000,"&lt;="&amp;DATE(2026,10,21))</f>
        <v>0</v>
      </c>
      <c r="K29" s="292">
        <f>SUMIFS(OUT!$F$14:$F$5084,OUT!$C$14:$C$5084,$A29,OUT!$D$14:$D$5084,$B29,OUT!$B$14:$B$5084,"&gt;="&amp;DATE(2026,10,18),OUT!$B$14:$B$5084,"&lt;="&amp;DATE(2026,10,21),OUT!$L$14:$L$5084,"&lt;&gt;Adjustment")</f>
        <v>0</v>
      </c>
      <c r="L29" s="292">
        <f>G29+J29-K29</f>
        <v>8.7674999999999614E-2</v>
      </c>
      <c r="M29" s="292">
        <f>SUMIFS('LAPORAN OPERATION'!$F$2:$F$1000,'LAPORAN OPERATION'!$A$2:$A$1000,DATE(2026,10,21),'LAPORAN OPERATION'!$B$2:$B$1000,"Balance",'LAPORAN OPERATION'!$C$2:$C$1000,IF($A29="Pine","Pinus",$A29),'LAPORAN OPERATION'!$D$2:$D$1000,$B29)+SUMIFS('LAPORAN OPERATION'!$F$2:$F$1000,'LAPORAN OPERATION'!$A$2:$A$1000,DATE(2026,10,21),'LAPORAN OPERATION'!$B$2:$B$1000,"Balance",'LAPORAN OPERATION'!$C$2:$C$1000,IF($A29="Pine","Pinus",$A29),'LAPORAN OPERATION'!$D$2:$D$1000,$B29&amp;" (Grade A)")</f>
        <v>8.7674999999999614E-2</v>
      </c>
      <c r="N29" s="293">
        <f>ROUND(L29-M29,6)</f>
        <v>0</v>
      </c>
      <c r="O29" s="292">
        <f>SUMIFS(INCOMING!$F$2:$F$5000,INCOMING!$C$2:$C$5000,$A29,INCOMING!$D$2:$D$5000,$B29,INCOMING!$B$2:$B$5000,"&gt;="&amp;DATE(2026,10,22),INCOMING!$B$2:$B$5000,"&lt;="&amp;DATE(2026,10,24))</f>
        <v>0</v>
      </c>
      <c r="P29" s="292">
        <f>SUMIFS(OUT!$F$14:$F$5084,OUT!$C$14:$C$5084,$A29,OUT!$D$14:$D$5084,$B29,OUT!$B$14:$B$5084,"&gt;="&amp;DATE(2026,10,22),OUT!$B$14:$B$5084,"&lt;="&amp;DATE(2026,10,24),OUT!$L$14:$L$5084,"&lt;&gt;Adjustment")</f>
        <v>0</v>
      </c>
      <c r="Q29" s="292">
        <f>L29+O29-P29</f>
        <v>8.7674999999999614E-2</v>
      </c>
      <c r="R29" s="292">
        <f>SUMIFS('LAPORAN OPERATION'!$F$2:$F$1000,'LAPORAN OPERATION'!$A$2:$A$1000,DATE(2026,10,24),'LAPORAN OPERATION'!$B$2:$B$1000,"Count",'LAPORAN OPERATION'!$C$2:$C$1000,IF($A29="Pine","Pinus",$A29),'LAPORAN OPERATION'!$D$2:$D$1000,$B29)+SUMIFS('LAPORAN OPERATION'!$F$2:$F$1000,'LAPORAN OPERATION'!$A$2:$A$1000,DATE(2026,10,24),'LAPORAN OPERATION'!$B$2:$B$1000,"Count",'LAPORAN OPERATION'!$C$2:$C$1000,IF($A29="Pine","Pinus",$A29),'LAPORAN OPERATION'!$D$2:$D$1000,$B29&amp;" (Grade A)")</f>
        <v>8.7674999999999614E-2</v>
      </c>
      <c r="S29" s="293">
        <f>ROUND(Q29-R29,6)</f>
        <v>0</v>
      </c>
    </row>
    <row r="30" spans="1:19" x14ac:dyDescent="0.25">
      <c r="A30" s="294" t="s">
        <v>18</v>
      </c>
      <c r="B30" s="294"/>
      <c r="C30" s="294"/>
      <c r="D30" s="295">
        <f t="shared" ref="D30:S30" si="14">SUM(D28:D29)</f>
        <v>0.1364549999999996</v>
      </c>
      <c r="E30" s="295">
        <f t="shared" si="14"/>
        <v>0</v>
      </c>
      <c r="F30" s="295">
        <f t="shared" si="14"/>
        <v>1.4274999999999999E-2</v>
      </c>
      <c r="G30" s="295">
        <f t="shared" si="14"/>
        <v>0.12217999999999959</v>
      </c>
      <c r="H30" s="295">
        <f t="shared" si="14"/>
        <v>0.12217999999999959</v>
      </c>
      <c r="I30" s="295">
        <f t="shared" si="14"/>
        <v>0</v>
      </c>
      <c r="J30" s="295">
        <f t="shared" si="14"/>
        <v>0</v>
      </c>
      <c r="K30" s="295">
        <f t="shared" si="14"/>
        <v>0</v>
      </c>
      <c r="L30" s="295">
        <f t="shared" si="14"/>
        <v>0.12217999999999959</v>
      </c>
      <c r="M30" s="295">
        <f t="shared" si="14"/>
        <v>0.12217999999999959</v>
      </c>
      <c r="N30" s="295">
        <f t="shared" si="14"/>
        <v>0</v>
      </c>
      <c r="O30" s="295">
        <f t="shared" si="14"/>
        <v>0</v>
      </c>
      <c r="P30" s="295">
        <f t="shared" si="14"/>
        <v>0</v>
      </c>
      <c r="Q30" s="295">
        <f t="shared" si="14"/>
        <v>0.12217999999999959</v>
      </c>
      <c r="R30" s="295">
        <f t="shared" si="14"/>
        <v>0.12217999999999959</v>
      </c>
      <c r="S30" s="295">
        <f t="shared" si="14"/>
        <v>0</v>
      </c>
    </row>
    <row r="32" spans="1:19" x14ac:dyDescent="0.25">
      <c r="A32" s="288" t="s">
        <v>19</v>
      </c>
    </row>
    <row r="33" spans="1:1" x14ac:dyDescent="0.25">
      <c r="A33" s="288" t="s">
        <v>20</v>
      </c>
    </row>
    <row r="34" spans="1:1" x14ac:dyDescent="0.25">
      <c r="A34" s="288" t="s">
        <v>21</v>
      </c>
    </row>
  </sheetData>
  <mergeCells count="7">
    <mergeCell ref="A3:A4"/>
    <mergeCell ref="D3:D4"/>
    <mergeCell ref="E3:I3"/>
    <mergeCell ref="J3:N3"/>
    <mergeCell ref="O3:S3"/>
    <mergeCell ref="C3:C4"/>
    <mergeCell ref="B3:B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52"/>
  <sheetViews>
    <sheetView showGridLines="0" zoomScale="70" zoomScaleNormal="70" workbookViewId="0">
      <pane ySplit="1" topLeftCell="A33" activePane="bottomLeft" state="frozen"/>
      <selection pane="bottomLeft" activeCell="G52" sqref="G52"/>
    </sheetView>
  </sheetViews>
  <sheetFormatPr defaultColWidth="8.7109375" defaultRowHeight="15" x14ac:dyDescent="0.25"/>
  <cols>
    <col min="1" max="1" width="6.140625" customWidth="1"/>
    <col min="2" max="2" width="13.85546875" customWidth="1"/>
    <col min="3" max="3" width="14" customWidth="1"/>
    <col min="4" max="4" width="13" customWidth="1"/>
    <col min="5" max="5" width="9.42578125" customWidth="1"/>
    <col min="6" max="6" width="28.7109375" bestFit="1" customWidth="1"/>
    <col min="7" max="7" width="12.28515625" bestFit="1" customWidth="1"/>
    <col min="8" max="8" width="15.42578125" customWidth="1"/>
    <col min="9" max="9" width="16.140625" bestFit="1" customWidth="1"/>
    <col min="10" max="10" width="14.5703125" bestFit="1" customWidth="1"/>
    <col min="11" max="11" width="30.140625" bestFit="1" customWidth="1"/>
    <col min="12" max="12" width="34.42578125" bestFit="1" customWidth="1"/>
    <col min="13" max="13" width="30.42578125" bestFit="1" customWidth="1"/>
    <col min="14" max="14" width="31.42578125" bestFit="1" customWidth="1"/>
    <col min="15" max="15" width="27.140625" bestFit="1" customWidth="1"/>
    <col min="16" max="16" width="39.5703125" bestFit="1" customWidth="1"/>
  </cols>
  <sheetData>
    <row r="1" spans="1:16" ht="41.25" customHeight="1" x14ac:dyDescent="0.25">
      <c r="A1" s="58" t="s">
        <v>74</v>
      </c>
      <c r="B1" s="58" t="s">
        <v>75</v>
      </c>
      <c r="C1" s="58" t="s">
        <v>76</v>
      </c>
      <c r="D1" s="58" t="s">
        <v>55</v>
      </c>
      <c r="E1" s="58" t="s">
        <v>77</v>
      </c>
      <c r="F1" s="58" t="s">
        <v>78</v>
      </c>
      <c r="G1" s="58" t="s">
        <v>33</v>
      </c>
      <c r="H1" s="58" t="s">
        <v>35</v>
      </c>
      <c r="I1" s="58" t="s">
        <v>79</v>
      </c>
      <c r="J1" s="58" t="s">
        <v>80</v>
      </c>
      <c r="K1" s="58" t="s">
        <v>81</v>
      </c>
      <c r="L1" s="58" t="s">
        <v>82</v>
      </c>
      <c r="M1" s="58" t="s">
        <v>83</v>
      </c>
      <c r="N1" s="58" t="s">
        <v>84</v>
      </c>
      <c r="O1" s="58" t="s">
        <v>85</v>
      </c>
      <c r="P1" s="59" t="s">
        <v>86</v>
      </c>
    </row>
    <row r="2" spans="1:16" ht="18" customHeight="1" x14ac:dyDescent="0.25">
      <c r="A2" s="11">
        <v>1</v>
      </c>
      <c r="B2" s="12">
        <v>45972</v>
      </c>
      <c r="C2" s="14" t="s">
        <v>87</v>
      </c>
      <c r="D2" s="11" t="s">
        <v>13</v>
      </c>
      <c r="E2" s="11" t="s">
        <v>88</v>
      </c>
      <c r="F2" s="14" t="s">
        <v>89</v>
      </c>
      <c r="G2" s="13">
        <v>4.4443999999999997E-2</v>
      </c>
      <c r="H2" s="15">
        <v>400000</v>
      </c>
      <c r="I2" s="15">
        <f t="shared" ref="I2:I33" si="0">IF(G2=0,0,H2/G2)</f>
        <v>9000090.0009000096</v>
      </c>
      <c r="J2" s="11" t="str">
        <f>IF(OR(tblIN[[#This Row],[Receipt No.]]="",tblIN[[#This Row],[Receipt No.]]="Not received"),"Not received","Received")</f>
        <v>Received</v>
      </c>
      <c r="K2" s="14" t="str">
        <f>IF(OR(tblIN[[#This Row],[Payment No.]]="",tblIN[[#This Row],[Payment No.]]="Unpaid"),"Still on waiting Schedule Payment","Paid 100%")</f>
        <v>Paid 100%</v>
      </c>
      <c r="L2" s="14" t="s">
        <v>90</v>
      </c>
      <c r="M2" s="49" t="s">
        <v>91</v>
      </c>
      <c r="N2" s="49" t="s">
        <v>92</v>
      </c>
      <c r="O2" s="49" t="s">
        <v>93</v>
      </c>
      <c r="P2" s="49" t="s">
        <v>94</v>
      </c>
    </row>
    <row r="3" spans="1:16" ht="18" customHeight="1" x14ac:dyDescent="0.25">
      <c r="A3" s="11">
        <v>2</v>
      </c>
      <c r="B3" s="12">
        <v>45972</v>
      </c>
      <c r="C3" s="14" t="s">
        <v>95</v>
      </c>
      <c r="D3" s="11" t="s">
        <v>13</v>
      </c>
      <c r="E3" s="11" t="s">
        <v>88</v>
      </c>
      <c r="F3" s="14" t="s">
        <v>89</v>
      </c>
      <c r="G3" s="13">
        <v>2.4992299999999998</v>
      </c>
      <c r="H3" s="15">
        <v>25369960</v>
      </c>
      <c r="I3" s="15">
        <f t="shared" si="0"/>
        <v>10151110.542046951</v>
      </c>
      <c r="J3" s="11" t="str">
        <f>IF(OR(tblIN[[#This Row],[Receipt No.]]="",tblIN[[#This Row],[Receipt No.]]="Not received"),"Not received","Received")</f>
        <v>Received</v>
      </c>
      <c r="K3" s="14" t="str">
        <f>IF(OR(tblIN[[#This Row],[Payment No.]]="",tblIN[[#This Row],[Payment No.]]="Unpaid"),"Still on waiting Schedule Payment","Paid 100%")</f>
        <v>Paid 100%</v>
      </c>
      <c r="L3" s="14" t="s">
        <v>96</v>
      </c>
      <c r="M3" s="49" t="s">
        <v>97</v>
      </c>
      <c r="N3" s="49" t="s">
        <v>98</v>
      </c>
      <c r="O3" s="49" t="s">
        <v>93</v>
      </c>
      <c r="P3" s="49" t="s">
        <v>99</v>
      </c>
    </row>
    <row r="4" spans="1:16" ht="18" customHeight="1" x14ac:dyDescent="0.25">
      <c r="A4" s="11">
        <v>3</v>
      </c>
      <c r="B4" s="12">
        <v>45980</v>
      </c>
      <c r="C4" s="14" t="s">
        <v>100</v>
      </c>
      <c r="D4" s="11" t="s">
        <v>13</v>
      </c>
      <c r="E4" s="11" t="s">
        <v>88</v>
      </c>
      <c r="F4" s="14" t="s">
        <v>101</v>
      </c>
      <c r="G4" s="13">
        <v>0.43140000000000001</v>
      </c>
      <c r="H4" s="15">
        <v>4248900</v>
      </c>
      <c r="I4" s="15">
        <f t="shared" si="0"/>
        <v>9849095.9666203056</v>
      </c>
      <c r="J4" s="11" t="str">
        <f>IF(OR(tblIN[[#This Row],[Receipt No.]]="",tblIN[[#This Row],[Receipt No.]]="Not received"),"Not received","Received")</f>
        <v>Received</v>
      </c>
      <c r="K4" s="14" t="str">
        <f>IF(OR(tblIN[[#This Row],[Payment No.]]="",tblIN[[#This Row],[Payment No.]]="Unpaid"),"Still on waiting Schedule Payment","Paid 100%")</f>
        <v>Paid 100%</v>
      </c>
      <c r="L4" s="14" t="s">
        <v>102</v>
      </c>
      <c r="M4" s="49" t="s">
        <v>103</v>
      </c>
      <c r="N4" s="49" t="s">
        <v>104</v>
      </c>
      <c r="O4" s="49" t="s">
        <v>93</v>
      </c>
      <c r="P4" s="49" t="s">
        <v>105</v>
      </c>
    </row>
    <row r="5" spans="1:16" ht="18" customHeight="1" x14ac:dyDescent="0.25">
      <c r="A5" s="11">
        <v>4</v>
      </c>
      <c r="B5" s="12">
        <v>46006</v>
      </c>
      <c r="C5" s="14" t="s">
        <v>106</v>
      </c>
      <c r="D5" s="11" t="s">
        <v>13</v>
      </c>
      <c r="E5" s="11" t="s">
        <v>88</v>
      </c>
      <c r="F5" s="14" t="s">
        <v>101</v>
      </c>
      <c r="G5" s="13">
        <v>6.8500000000000005E-2</v>
      </c>
      <c r="H5" s="15">
        <v>616500</v>
      </c>
      <c r="I5" s="15">
        <f t="shared" si="0"/>
        <v>9000000</v>
      </c>
      <c r="J5" s="11" t="str">
        <f>IF(OR(tblIN[[#This Row],[Receipt No.]]="",tblIN[[#This Row],[Receipt No.]]="Not received"),"Not received","Received")</f>
        <v>Received</v>
      </c>
      <c r="K5" s="14" t="str">
        <f>IF(OR(tblIN[[#This Row],[Payment No.]]="",tblIN[[#This Row],[Payment No.]]="Unpaid"),"Still on waiting Schedule Payment","Paid 100%")</f>
        <v>Paid 100%</v>
      </c>
      <c r="L5" s="14" t="s">
        <v>107</v>
      </c>
      <c r="M5" s="49" t="s">
        <v>108</v>
      </c>
      <c r="N5" s="49" t="s">
        <v>109</v>
      </c>
      <c r="O5" s="49" t="s">
        <v>93</v>
      </c>
      <c r="P5" s="49" t="s">
        <v>110</v>
      </c>
    </row>
    <row r="6" spans="1:16" s="5" customFormat="1" ht="18" customHeight="1" x14ac:dyDescent="0.25">
      <c r="A6" s="50">
        <v>5</v>
      </c>
      <c r="B6" s="51">
        <v>46035</v>
      </c>
      <c r="C6" s="52" t="s">
        <v>111</v>
      </c>
      <c r="D6" s="50" t="s">
        <v>13</v>
      </c>
      <c r="E6" s="50" t="s">
        <v>88</v>
      </c>
      <c r="F6" s="52" t="s">
        <v>101</v>
      </c>
      <c r="G6" s="53">
        <f>1.0069+1.5006+1.0175+2.0235+0.5171+0.5087</f>
        <v>6.5743</v>
      </c>
      <c r="H6" s="54">
        <v>57525125</v>
      </c>
      <c r="I6" s="54">
        <f t="shared" si="0"/>
        <v>8750000</v>
      </c>
      <c r="J6" s="50" t="str">
        <f>IF(OR(tblIN[[#This Row],[Receipt No.]]="",tblIN[[#This Row],[Receipt No.]]="Not received"),"Not received","Received")</f>
        <v>Received</v>
      </c>
      <c r="K6" s="52" t="str">
        <f>IF(OR(tblIN[[#This Row],[Payment No.]]="",tblIN[[#This Row],[Payment No.]]="Unpaid"),"Still on waiting Schedule Payment","Paid 100%")</f>
        <v>Paid 100%</v>
      </c>
      <c r="L6" s="52" t="s">
        <v>112</v>
      </c>
      <c r="M6" s="55" t="s">
        <v>113</v>
      </c>
      <c r="N6" s="55" t="s">
        <v>114</v>
      </c>
      <c r="O6" s="55" t="s">
        <v>93</v>
      </c>
      <c r="P6" s="55" t="s">
        <v>115</v>
      </c>
    </row>
    <row r="7" spans="1:16" ht="18" customHeight="1" x14ac:dyDescent="0.25">
      <c r="A7" s="11">
        <v>6</v>
      </c>
      <c r="B7" s="12">
        <v>46057</v>
      </c>
      <c r="C7" s="14" t="s">
        <v>116</v>
      </c>
      <c r="D7" s="11" t="s">
        <v>13</v>
      </c>
      <c r="E7" s="11" t="s">
        <v>88</v>
      </c>
      <c r="F7" s="14" t="s">
        <v>117</v>
      </c>
      <c r="G7" s="13">
        <v>3.1488999999999998</v>
      </c>
      <c r="H7" s="15">
        <v>23616750</v>
      </c>
      <c r="I7" s="15">
        <f t="shared" si="0"/>
        <v>7500000</v>
      </c>
      <c r="J7" s="11" t="str">
        <f>IF(OR(tblIN[[#This Row],[Receipt No.]]="",tblIN[[#This Row],[Receipt No.]]="Not received"),"Not received","Received")</f>
        <v>Received</v>
      </c>
      <c r="K7" s="14" t="str">
        <f>IF(OR(tblIN[[#This Row],[Payment No.]]="",tblIN[[#This Row],[Payment No.]]="Unpaid"),"Still on waiting Schedule Payment","Paid 100%")</f>
        <v>Paid 100%</v>
      </c>
      <c r="L7" s="14" t="s">
        <v>118</v>
      </c>
      <c r="M7" s="49" t="s">
        <v>119</v>
      </c>
      <c r="N7" s="49" t="s">
        <v>120</v>
      </c>
      <c r="O7" s="49" t="s">
        <v>93</v>
      </c>
      <c r="P7" s="49" t="s">
        <v>121</v>
      </c>
    </row>
    <row r="8" spans="1:16" ht="18" customHeight="1" x14ac:dyDescent="0.25">
      <c r="A8" s="11">
        <v>7</v>
      </c>
      <c r="B8" s="12">
        <v>46063</v>
      </c>
      <c r="C8" s="14" t="s">
        <v>122</v>
      </c>
      <c r="D8" s="11" t="s">
        <v>13</v>
      </c>
      <c r="E8" s="11" t="s">
        <v>88</v>
      </c>
      <c r="F8" s="14" t="s">
        <v>123</v>
      </c>
      <c r="G8" s="13">
        <v>2.623685</v>
      </c>
      <c r="H8" s="15">
        <v>19815240</v>
      </c>
      <c r="I8" s="15">
        <f t="shared" si="0"/>
        <v>7552446.2730853744</v>
      </c>
      <c r="J8" s="11" t="str">
        <f>IF(OR(tblIN[[#This Row],[Receipt No.]]="",tblIN[[#This Row],[Receipt No.]]="Not received"),"Not received","Received")</f>
        <v>Received</v>
      </c>
      <c r="K8" s="14" t="str">
        <f>IF(OR(tblIN[[#This Row],[Payment No.]]="",tblIN[[#This Row],[Payment No.]]="Unpaid"),"Still on waiting Schedule Payment","Paid 100%")</f>
        <v>Paid 100%</v>
      </c>
      <c r="L8" s="14" t="s">
        <v>124</v>
      </c>
      <c r="M8" s="49" t="s">
        <v>125</v>
      </c>
      <c r="N8" s="49" t="s">
        <v>126</v>
      </c>
      <c r="O8" s="49" t="s">
        <v>93</v>
      </c>
      <c r="P8" s="49" t="s">
        <v>127</v>
      </c>
    </row>
    <row r="9" spans="1:16" ht="18" customHeight="1" x14ac:dyDescent="0.25">
      <c r="A9" s="11">
        <v>8</v>
      </c>
      <c r="B9" s="12">
        <v>46070</v>
      </c>
      <c r="C9" s="14" t="s">
        <v>128</v>
      </c>
      <c r="D9" s="11" t="s">
        <v>13</v>
      </c>
      <c r="E9" s="11" t="s">
        <v>88</v>
      </c>
      <c r="F9" s="14" t="s">
        <v>117</v>
      </c>
      <c r="G9" s="13">
        <v>5.2289000000000003</v>
      </c>
      <c r="H9" s="15">
        <v>28758950</v>
      </c>
      <c r="I9" s="15">
        <f t="shared" si="0"/>
        <v>5500000</v>
      </c>
      <c r="J9" s="11" t="str">
        <f>IF(OR(tblIN[[#This Row],[Receipt No.]]="",tblIN[[#This Row],[Receipt No.]]="Not received"),"Not received","Received")</f>
        <v>Received</v>
      </c>
      <c r="K9" s="14" t="str">
        <f>IF(OR(tblIN[[#This Row],[Payment No.]]="",tblIN[[#This Row],[Payment No.]]="Unpaid"),"Still on waiting Schedule Payment","Paid 100%")</f>
        <v>Paid 100%</v>
      </c>
      <c r="L9" s="14" t="s">
        <v>129</v>
      </c>
      <c r="M9" s="49" t="s">
        <v>130</v>
      </c>
      <c r="N9" s="49" t="s">
        <v>131</v>
      </c>
      <c r="O9" s="49" t="s">
        <v>93</v>
      </c>
      <c r="P9" s="49" t="s">
        <v>132</v>
      </c>
    </row>
    <row r="10" spans="1:16" ht="18" customHeight="1" x14ac:dyDescent="0.25">
      <c r="A10" s="11">
        <v>9</v>
      </c>
      <c r="B10" s="12">
        <v>46112</v>
      </c>
      <c r="C10" s="14" t="s">
        <v>133</v>
      </c>
      <c r="D10" s="11" t="s">
        <v>13</v>
      </c>
      <c r="E10" s="11" t="s">
        <v>88</v>
      </c>
      <c r="F10" s="14" t="s">
        <v>123</v>
      </c>
      <c r="G10" s="13">
        <v>3.4951249999999998</v>
      </c>
      <c r="H10" s="15">
        <v>26519650.5</v>
      </c>
      <c r="I10" s="15">
        <f t="shared" si="0"/>
        <v>7587611.4588176394</v>
      </c>
      <c r="J10" s="11" t="str">
        <f>IF(OR(tblIN[[#This Row],[Receipt No.]]="",tblIN[[#This Row],[Receipt No.]]="Not received"),"Not received","Received")</f>
        <v>Received</v>
      </c>
      <c r="K10" s="14" t="str">
        <f>IF(OR(tblIN[[#This Row],[Payment No.]]="",tblIN[[#This Row],[Payment No.]]="Unpaid"),"Still on waiting Schedule Payment","Paid 100%")</f>
        <v>Paid 100%</v>
      </c>
      <c r="L10" s="14" t="s">
        <v>134</v>
      </c>
      <c r="M10" s="49" t="s">
        <v>135</v>
      </c>
      <c r="N10" s="49" t="s">
        <v>136</v>
      </c>
      <c r="O10" s="49" t="s">
        <v>93</v>
      </c>
      <c r="P10" s="49" t="s">
        <v>137</v>
      </c>
    </row>
    <row r="11" spans="1:16" ht="18" customHeight="1" x14ac:dyDescent="0.25">
      <c r="A11" s="11">
        <v>10</v>
      </c>
      <c r="B11" s="12">
        <v>46112</v>
      </c>
      <c r="C11" s="14" t="s">
        <v>138</v>
      </c>
      <c r="D11" s="11" t="s">
        <v>13</v>
      </c>
      <c r="E11" s="11" t="s">
        <v>88</v>
      </c>
      <c r="F11" s="14" t="s">
        <v>117</v>
      </c>
      <c r="G11" s="13">
        <v>5.2290000000000001</v>
      </c>
      <c r="H11" s="15">
        <v>27153900</v>
      </c>
      <c r="I11" s="15">
        <f t="shared" si="0"/>
        <v>5192943.2013769364</v>
      </c>
      <c r="J11" s="11" t="str">
        <f>IF(OR(tblIN[[#This Row],[Receipt No.]]="",tblIN[[#This Row],[Receipt No.]]="Not received"),"Not received","Received")</f>
        <v>Received</v>
      </c>
      <c r="K11" s="14" t="str">
        <f>IF(OR(tblIN[[#This Row],[Payment No.]]="",tblIN[[#This Row],[Payment No.]]="Unpaid"),"Still on waiting Schedule Payment","Paid 100%")</f>
        <v>Paid 100%</v>
      </c>
      <c r="L11" s="14" t="s">
        <v>139</v>
      </c>
      <c r="M11" s="49" t="s">
        <v>140</v>
      </c>
      <c r="N11" s="49" t="s">
        <v>141</v>
      </c>
      <c r="O11" s="49" t="s">
        <v>93</v>
      </c>
      <c r="P11" s="49" t="s">
        <v>142</v>
      </c>
    </row>
    <row r="12" spans="1:16" ht="18" customHeight="1" x14ac:dyDescent="0.25">
      <c r="A12" s="11">
        <v>11</v>
      </c>
      <c r="B12" s="12">
        <v>46115</v>
      </c>
      <c r="C12" s="14" t="s">
        <v>143</v>
      </c>
      <c r="D12" s="11" t="s">
        <v>13</v>
      </c>
      <c r="E12" s="11" t="s">
        <v>88</v>
      </c>
      <c r="F12" s="14" t="s">
        <v>123</v>
      </c>
      <c r="G12" s="13">
        <v>1.41672</v>
      </c>
      <c r="H12" s="15">
        <v>10625400</v>
      </c>
      <c r="I12" s="15">
        <f t="shared" si="0"/>
        <v>7500000</v>
      </c>
      <c r="J12" s="11" t="str">
        <f>IF(OR(tblIN[[#This Row],[Receipt No.]]="",tblIN[[#This Row],[Receipt No.]]="Not received"),"Not received","Received")</f>
        <v>Received</v>
      </c>
      <c r="K12" s="14" t="str">
        <f>IF(OR(tblIN[[#This Row],[Payment No.]]="",tblIN[[#This Row],[Payment No.]]="Unpaid"),"Still on waiting Schedule Payment","Paid 100%")</f>
        <v>Paid 100%</v>
      </c>
      <c r="L12" s="14" t="s">
        <v>144</v>
      </c>
      <c r="M12" s="49" t="s">
        <v>145</v>
      </c>
      <c r="N12" s="49" t="s">
        <v>146</v>
      </c>
      <c r="O12" s="49" t="s">
        <v>93</v>
      </c>
      <c r="P12" s="49" t="s">
        <v>147</v>
      </c>
    </row>
    <row r="13" spans="1:16" ht="18" customHeight="1" x14ac:dyDescent="0.25">
      <c r="A13" s="11">
        <v>12</v>
      </c>
      <c r="B13" s="12">
        <v>46125</v>
      </c>
      <c r="C13" s="14" t="s">
        <v>148</v>
      </c>
      <c r="D13" s="11" t="s">
        <v>13</v>
      </c>
      <c r="E13" s="11" t="s">
        <v>88</v>
      </c>
      <c r="F13" s="14" t="s">
        <v>123</v>
      </c>
      <c r="G13" s="13">
        <v>3.7389700000000001</v>
      </c>
      <c r="H13" s="15">
        <f>28042275+225</f>
        <v>28042500</v>
      </c>
      <c r="I13" s="15">
        <f t="shared" si="0"/>
        <v>7500060.1770006176</v>
      </c>
      <c r="J13" s="11" t="str">
        <f>IF(OR(tblIN[[#This Row],[Receipt No.]]="",tblIN[[#This Row],[Receipt No.]]="Not received"),"Not received","Received")</f>
        <v>Received</v>
      </c>
      <c r="K13" s="14" t="str">
        <f>IF(OR(tblIN[[#This Row],[Payment No.]]="",tblIN[[#This Row],[Payment No.]]="Unpaid"),"Still on waiting Schedule Payment","Paid 100%")</f>
        <v>Paid 100%</v>
      </c>
      <c r="L13" s="14" t="s">
        <v>149</v>
      </c>
      <c r="M13" s="49" t="s">
        <v>150</v>
      </c>
      <c r="N13" s="49" t="s">
        <v>151</v>
      </c>
      <c r="O13" s="49" t="s">
        <v>93</v>
      </c>
      <c r="P13" s="49" t="s">
        <v>152</v>
      </c>
    </row>
    <row r="14" spans="1:16" ht="18" customHeight="1" x14ac:dyDescent="0.25">
      <c r="A14" s="11">
        <v>13</v>
      </c>
      <c r="B14" s="12">
        <v>46125</v>
      </c>
      <c r="C14" s="14" t="s">
        <v>153</v>
      </c>
      <c r="D14" s="11" t="s">
        <v>13</v>
      </c>
      <c r="E14" s="11" t="s">
        <v>88</v>
      </c>
      <c r="F14" s="14" t="s">
        <v>117</v>
      </c>
      <c r="G14" s="13">
        <f>H14/7500000</f>
        <v>5.8880368000000001</v>
      </c>
      <c r="H14" s="15">
        <v>44160276</v>
      </c>
      <c r="I14" s="15">
        <f t="shared" si="0"/>
        <v>7500000</v>
      </c>
      <c r="J14" s="11" t="str">
        <f>IF(OR(tblIN[[#This Row],[Receipt No.]]="",tblIN[[#This Row],[Receipt No.]]="Not received"),"Not received","Received")</f>
        <v>Received</v>
      </c>
      <c r="K14" s="14" t="str">
        <f>IF(OR(tblIN[[#This Row],[Payment No.]]="",tblIN[[#This Row],[Payment No.]]="Unpaid"),"Still on waiting Schedule Payment","Paid 100%")</f>
        <v>Paid 100%</v>
      </c>
      <c r="L14" s="14" t="s">
        <v>154</v>
      </c>
      <c r="M14" s="49" t="s">
        <v>155</v>
      </c>
      <c r="N14" s="49" t="s">
        <v>156</v>
      </c>
      <c r="O14" s="49" t="s">
        <v>93</v>
      </c>
      <c r="P14" s="49" t="s">
        <v>157</v>
      </c>
    </row>
    <row r="15" spans="1:16" ht="18" customHeight="1" x14ac:dyDescent="0.25">
      <c r="A15" s="11">
        <v>14</v>
      </c>
      <c r="B15" s="12">
        <v>46136</v>
      </c>
      <c r="C15" s="14" t="s">
        <v>158</v>
      </c>
      <c r="D15" s="11" t="s">
        <v>13</v>
      </c>
      <c r="E15" s="11" t="s">
        <v>88</v>
      </c>
      <c r="F15" s="14" t="s">
        <v>123</v>
      </c>
      <c r="G15" s="13">
        <v>7.4049149999999999</v>
      </c>
      <c r="H15" s="15">
        <v>56962560</v>
      </c>
      <c r="I15" s="15">
        <f t="shared" si="0"/>
        <v>7692533.9453592645</v>
      </c>
      <c r="J15" s="11" t="str">
        <f>IF(OR(tblIN[[#This Row],[Receipt No.]]="",tblIN[[#This Row],[Receipt No.]]="Not received"),"Not received","Received")</f>
        <v>Received</v>
      </c>
      <c r="K15" s="14" t="str">
        <f>IF(OR(tblIN[[#This Row],[Payment No.]]="",tblIN[[#This Row],[Payment No.]]="Unpaid"),"Still on waiting Schedule Payment","Paid 100%")</f>
        <v>Paid 100%</v>
      </c>
      <c r="L15" s="14" t="s">
        <v>159</v>
      </c>
      <c r="M15" s="49" t="s">
        <v>160</v>
      </c>
      <c r="N15" s="49" t="s">
        <v>161</v>
      </c>
      <c r="O15" s="49" t="s">
        <v>93</v>
      </c>
      <c r="P15" s="49" t="s">
        <v>162</v>
      </c>
    </row>
    <row r="16" spans="1:16" ht="18" customHeight="1" x14ac:dyDescent="0.25">
      <c r="A16" s="11">
        <v>15</v>
      </c>
      <c r="B16" s="12">
        <v>46153</v>
      </c>
      <c r="C16" s="14" t="s">
        <v>163</v>
      </c>
      <c r="D16" s="11" t="s">
        <v>13</v>
      </c>
      <c r="E16" s="11" t="s">
        <v>88</v>
      </c>
      <c r="F16" s="14" t="s">
        <v>117</v>
      </c>
      <c r="G16" s="13">
        <v>1.6292</v>
      </c>
      <c r="H16" s="15">
        <v>12219000</v>
      </c>
      <c r="I16" s="15">
        <f t="shared" si="0"/>
        <v>7500000</v>
      </c>
      <c r="J16" s="11" t="str">
        <f>IF(OR(tblIN[[#This Row],[Receipt No.]]="",tblIN[[#This Row],[Receipt No.]]="Not received"),"Not received","Received")</f>
        <v>Received</v>
      </c>
      <c r="K16" s="14" t="str">
        <f>IF(OR(tblIN[[#This Row],[Payment No.]]="",tblIN[[#This Row],[Payment No.]]="Unpaid"),"Still on waiting Schedule Payment","Paid 100%")</f>
        <v>Paid 100%</v>
      </c>
      <c r="L16" s="14" t="s">
        <v>164</v>
      </c>
      <c r="M16" s="49" t="s">
        <v>165</v>
      </c>
      <c r="N16" s="49" t="s">
        <v>166</v>
      </c>
      <c r="O16" s="49" t="s">
        <v>93</v>
      </c>
      <c r="P16" s="49" t="s">
        <v>167</v>
      </c>
    </row>
    <row r="17" spans="1:16" ht="18" customHeight="1" x14ac:dyDescent="0.25">
      <c r="A17" s="11">
        <v>16</v>
      </c>
      <c r="B17" s="12">
        <v>46176</v>
      </c>
      <c r="C17" s="14" t="s">
        <v>168</v>
      </c>
      <c r="D17" s="11" t="s">
        <v>13</v>
      </c>
      <c r="E17" s="11" t="s">
        <v>88</v>
      </c>
      <c r="F17" s="14" t="s">
        <v>117</v>
      </c>
      <c r="G17" s="13">
        <v>2.04603</v>
      </c>
      <c r="H17" s="15">
        <f>15345225-225</f>
        <v>15345000</v>
      </c>
      <c r="I17" s="15">
        <f t="shared" si="0"/>
        <v>7499890.0309379632</v>
      </c>
      <c r="J17" s="11" t="str">
        <f>IF(OR(tblIN[[#This Row],[Receipt No.]]="",tblIN[[#This Row],[Receipt No.]]="Not received"),"Not received","Received")</f>
        <v>Received</v>
      </c>
      <c r="K17" s="14" t="str">
        <f>IF(OR(tblIN[[#This Row],[Payment No.]]="",tblIN[[#This Row],[Payment No.]]="Unpaid"),"Still on waiting Schedule Payment","Paid 100%")</f>
        <v>Paid 100%</v>
      </c>
      <c r="L17" s="14" t="s">
        <v>169</v>
      </c>
      <c r="M17" s="49" t="s">
        <v>170</v>
      </c>
      <c r="N17" s="49" t="s">
        <v>171</v>
      </c>
      <c r="O17" s="49" t="s">
        <v>93</v>
      </c>
      <c r="P17" s="49" t="s">
        <v>172</v>
      </c>
    </row>
    <row r="18" spans="1:16" ht="18" customHeight="1" x14ac:dyDescent="0.25">
      <c r="A18" s="11">
        <v>17</v>
      </c>
      <c r="B18" s="12">
        <v>46176</v>
      </c>
      <c r="C18" s="14" t="s">
        <v>173</v>
      </c>
      <c r="D18" s="11" t="s">
        <v>13</v>
      </c>
      <c r="E18" s="11" t="s">
        <v>88</v>
      </c>
      <c r="F18" s="14" t="s">
        <v>117</v>
      </c>
      <c r="G18" s="13">
        <f>H18/7500000</f>
        <v>5.8428618666666665</v>
      </c>
      <c r="H18" s="15">
        <f>15349000+43821464-15349000</f>
        <v>43821464</v>
      </c>
      <c r="I18" s="15">
        <f t="shared" si="0"/>
        <v>7500000</v>
      </c>
      <c r="J18" s="11" t="str">
        <f>IF(OR(tblIN[[#This Row],[Receipt No.]]="",tblIN[[#This Row],[Receipt No.]]="Not received"),"Not received","Received")</f>
        <v>Received</v>
      </c>
      <c r="K18" s="14" t="str">
        <f>IF(OR(tblIN[[#This Row],[Payment No.]]="",tblIN[[#This Row],[Payment No.]]="Unpaid"),"Still on waiting Schedule Payment","Paid 100%")</f>
        <v>Paid 100%</v>
      </c>
      <c r="L18" s="14" t="s">
        <v>174</v>
      </c>
      <c r="M18" s="49" t="s">
        <v>175</v>
      </c>
      <c r="N18" s="49" t="s">
        <v>176</v>
      </c>
      <c r="O18" s="49" t="s">
        <v>93</v>
      </c>
      <c r="P18" s="49" t="s">
        <v>177</v>
      </c>
    </row>
    <row r="19" spans="1:16" ht="18" customHeight="1" x14ac:dyDescent="0.25">
      <c r="A19" s="11">
        <v>18</v>
      </c>
      <c r="B19" s="12">
        <v>46183</v>
      </c>
      <c r="C19" s="14" t="s">
        <v>178</v>
      </c>
      <c r="D19" s="11" t="s">
        <v>13</v>
      </c>
      <c r="E19" s="11" t="s">
        <v>179</v>
      </c>
      <c r="F19" s="14" t="s">
        <v>117</v>
      </c>
      <c r="G19" s="13">
        <f>H19/7500000</f>
        <v>6.9346666666666668</v>
      </c>
      <c r="H19" s="15">
        <v>52010000</v>
      </c>
      <c r="I19" s="15">
        <f t="shared" si="0"/>
        <v>7500000</v>
      </c>
      <c r="J19" s="11" t="str">
        <f>IF(OR(tblIN[[#This Row],[Receipt No.]]="",tblIN[[#This Row],[Receipt No.]]="Not received"),"Not received","Received")</f>
        <v>Received</v>
      </c>
      <c r="K19" s="14" t="str">
        <f>IF(OR(tblIN[[#This Row],[Payment No.]]="",tblIN[[#This Row],[Payment No.]]="Unpaid"),"Still on waiting Schedule Payment","Paid 100%")</f>
        <v>Paid 100%</v>
      </c>
      <c r="L19" s="14" t="s">
        <v>180</v>
      </c>
      <c r="M19" s="49" t="s">
        <v>181</v>
      </c>
      <c r="N19" s="49" t="s">
        <v>182</v>
      </c>
      <c r="O19" s="49" t="s">
        <v>93</v>
      </c>
      <c r="P19" s="49" t="s">
        <v>183</v>
      </c>
    </row>
    <row r="20" spans="1:16" ht="18" customHeight="1" x14ac:dyDescent="0.25">
      <c r="A20" s="11">
        <v>19</v>
      </c>
      <c r="B20" s="12">
        <v>46190</v>
      </c>
      <c r="C20" s="14" t="s">
        <v>184</v>
      </c>
      <c r="D20" s="11" t="s">
        <v>13</v>
      </c>
      <c r="E20" s="11" t="s">
        <v>88</v>
      </c>
      <c r="F20" s="14" t="s">
        <v>117</v>
      </c>
      <c r="G20" s="13">
        <v>3.5861999999999998</v>
      </c>
      <c r="H20" s="15">
        <v>26896500</v>
      </c>
      <c r="I20" s="15">
        <f t="shared" si="0"/>
        <v>7500000</v>
      </c>
      <c r="J20" s="11" t="str">
        <f>IF(OR(tblIN[[#This Row],[Receipt No.]]="",tblIN[[#This Row],[Receipt No.]]="Not received"),"Not received","Received")</f>
        <v>Received</v>
      </c>
      <c r="K20" s="14" t="str">
        <f>IF(OR(tblIN[[#This Row],[Payment No.]]="",tblIN[[#This Row],[Payment No.]]="Unpaid"),"Still on waiting Schedule Payment","Paid 100%")</f>
        <v>Paid 100%</v>
      </c>
      <c r="L20" s="14" t="s">
        <v>185</v>
      </c>
      <c r="M20" s="49" t="s">
        <v>186</v>
      </c>
      <c r="N20" s="49" t="s">
        <v>187</v>
      </c>
      <c r="O20" s="49" t="s">
        <v>93</v>
      </c>
      <c r="P20" s="49" t="s">
        <v>188</v>
      </c>
    </row>
    <row r="21" spans="1:16" ht="18" customHeight="1" x14ac:dyDescent="0.25">
      <c r="A21" s="11">
        <v>20</v>
      </c>
      <c r="B21" s="12">
        <v>46198</v>
      </c>
      <c r="C21" s="14" t="s">
        <v>189</v>
      </c>
      <c r="D21" s="11" t="s">
        <v>13</v>
      </c>
      <c r="E21" s="11" t="s">
        <v>88</v>
      </c>
      <c r="F21" s="14" t="s">
        <v>117</v>
      </c>
      <c r="G21" s="13">
        <v>3.2898999999999998</v>
      </c>
      <c r="H21" s="15">
        <v>24674250</v>
      </c>
      <c r="I21" s="15">
        <f t="shared" si="0"/>
        <v>7500000</v>
      </c>
      <c r="J21" s="11" t="str">
        <f>IF(OR(tblIN[[#This Row],[Receipt No.]]="",tblIN[[#This Row],[Receipt No.]]="Not received"),"Not received","Received")</f>
        <v>Received</v>
      </c>
      <c r="K21" s="14" t="str">
        <f>IF(OR(tblIN[[#This Row],[Payment No.]]="",tblIN[[#This Row],[Payment No.]]="Unpaid"),"Still on waiting Schedule Payment","Paid 100%")</f>
        <v>Paid 100%</v>
      </c>
      <c r="L21" s="14" t="s">
        <v>190</v>
      </c>
      <c r="M21" s="49" t="s">
        <v>191</v>
      </c>
      <c r="N21" s="49" t="s">
        <v>192</v>
      </c>
      <c r="O21" s="49" t="s">
        <v>93</v>
      </c>
      <c r="P21" s="49" t="s">
        <v>193</v>
      </c>
    </row>
    <row r="22" spans="1:16" ht="18" customHeight="1" x14ac:dyDescent="0.25">
      <c r="A22" s="11">
        <v>21</v>
      </c>
      <c r="B22" s="12">
        <v>46203</v>
      </c>
      <c r="C22" s="14" t="s">
        <v>194</v>
      </c>
      <c r="D22" s="11" t="s">
        <v>13</v>
      </c>
      <c r="E22" s="11" t="s">
        <v>88</v>
      </c>
      <c r="F22" s="14" t="s">
        <v>117</v>
      </c>
      <c r="G22" s="13">
        <v>4.0199999999999996</v>
      </c>
      <c r="H22" s="15">
        <v>30150000</v>
      </c>
      <c r="I22" s="15">
        <f t="shared" si="0"/>
        <v>7500000.0000000009</v>
      </c>
      <c r="J22" s="11" t="str">
        <f>IF(OR(tblIN[[#This Row],[Receipt No.]]="",tblIN[[#This Row],[Receipt No.]]="Not received"),"Not received","Received")</f>
        <v>Received</v>
      </c>
      <c r="K22" s="14" t="str">
        <f>IF(OR(tblIN[[#This Row],[Payment No.]]="",tblIN[[#This Row],[Payment No.]]="Unpaid"),"Still on waiting Schedule Payment","Paid 100%")</f>
        <v>Paid 100%</v>
      </c>
      <c r="L22" s="14" t="s">
        <v>195</v>
      </c>
      <c r="M22" s="49" t="s">
        <v>196</v>
      </c>
      <c r="N22" s="49" t="s">
        <v>197</v>
      </c>
      <c r="O22" s="49" t="s">
        <v>198</v>
      </c>
      <c r="P22" s="49" t="s">
        <v>199</v>
      </c>
    </row>
    <row r="23" spans="1:16" ht="18" customHeight="1" x14ac:dyDescent="0.25">
      <c r="A23" s="11">
        <v>22</v>
      </c>
      <c r="B23" s="12">
        <v>46206</v>
      </c>
      <c r="C23" s="14" t="s">
        <v>200</v>
      </c>
      <c r="D23" s="11" t="s">
        <v>13</v>
      </c>
      <c r="E23" s="11" t="s">
        <v>88</v>
      </c>
      <c r="F23" s="14" t="s">
        <v>117</v>
      </c>
      <c r="G23" s="13">
        <v>5.8887</v>
      </c>
      <c r="H23" s="15">
        <v>44165250</v>
      </c>
      <c r="I23" s="15">
        <f t="shared" si="0"/>
        <v>7500000</v>
      </c>
      <c r="J23" s="11" t="str">
        <f>IF(OR(tblIN[[#This Row],[Receipt No.]]="",tblIN[[#This Row],[Receipt No.]]="Not received"),"Not received","Received")</f>
        <v>Received</v>
      </c>
      <c r="K23" s="14" t="str">
        <f>IF(OR(tblIN[[#This Row],[Payment No.]]="",tblIN[[#This Row],[Payment No.]]="Unpaid"),"Still on waiting Schedule Payment","Paid 100%")</f>
        <v>Paid 100%</v>
      </c>
      <c r="L23" s="14" t="s">
        <v>201</v>
      </c>
      <c r="M23" s="49" t="s">
        <v>202</v>
      </c>
      <c r="N23" s="49" t="s">
        <v>203</v>
      </c>
      <c r="O23" s="49" t="s">
        <v>204</v>
      </c>
      <c r="P23" s="49" t="s">
        <v>205</v>
      </c>
    </row>
    <row r="24" spans="1:16" ht="18" customHeight="1" x14ac:dyDescent="0.25">
      <c r="A24" s="11">
        <v>23</v>
      </c>
      <c r="B24" s="12">
        <v>46209</v>
      </c>
      <c r="C24" s="14" t="s">
        <v>206</v>
      </c>
      <c r="D24" s="11" t="s">
        <v>13</v>
      </c>
      <c r="E24" s="11" t="s">
        <v>88</v>
      </c>
      <c r="F24" s="14" t="s">
        <v>117</v>
      </c>
      <c r="G24" s="13">
        <f t="shared" ref="G24:G30" si="1">H24/7500000</f>
        <v>5.76</v>
      </c>
      <c r="H24" s="15">
        <v>43200000</v>
      </c>
      <c r="I24" s="15">
        <f t="shared" si="0"/>
        <v>7500000</v>
      </c>
      <c r="J24" s="11" t="str">
        <f>IF(OR(tblIN[[#This Row],[Receipt No.]]="",tblIN[[#This Row],[Receipt No.]]="Not received"),"Not received","Received")</f>
        <v>Received</v>
      </c>
      <c r="K24" s="14" t="str">
        <f>IF(OR(tblIN[[#This Row],[Payment No.]]="",tblIN[[#This Row],[Payment No.]]="Unpaid"),"Still on waiting Schedule Payment","Paid 100%")</f>
        <v>Paid 100%</v>
      </c>
      <c r="L24" s="14" t="s">
        <v>207</v>
      </c>
      <c r="M24" s="49" t="s">
        <v>208</v>
      </c>
      <c r="N24" s="49" t="s">
        <v>209</v>
      </c>
      <c r="O24" s="49" t="s">
        <v>93</v>
      </c>
      <c r="P24" s="49" t="s">
        <v>210</v>
      </c>
    </row>
    <row r="25" spans="1:16" ht="18" customHeight="1" x14ac:dyDescent="0.25">
      <c r="A25" s="11">
        <v>24</v>
      </c>
      <c r="B25" s="12">
        <v>46214</v>
      </c>
      <c r="C25" s="14" t="s">
        <v>211</v>
      </c>
      <c r="D25" s="11" t="s">
        <v>13</v>
      </c>
      <c r="E25" s="11" t="s">
        <v>88</v>
      </c>
      <c r="F25" s="14" t="s">
        <v>117</v>
      </c>
      <c r="G25" s="13">
        <f t="shared" si="1"/>
        <v>3.6076999999999999</v>
      </c>
      <c r="H25" s="15">
        <v>27057750</v>
      </c>
      <c r="I25" s="15">
        <f t="shared" si="0"/>
        <v>7500000</v>
      </c>
      <c r="J25" s="11" t="str">
        <f>IF(OR(tblIN[[#This Row],[Receipt No.]]="",tblIN[[#This Row],[Receipt No.]]="Not received"),"Not received","Received")</f>
        <v>Received</v>
      </c>
      <c r="K25" s="14" t="str">
        <f>IF(OR(tblIN[[#This Row],[Payment No.]]="",tblIN[[#This Row],[Payment No.]]="Unpaid"),"Still on waiting Schedule Payment","Paid 100%")</f>
        <v>Paid 100%</v>
      </c>
      <c r="L25" s="14" t="s">
        <v>212</v>
      </c>
      <c r="M25" s="49" t="s">
        <v>213</v>
      </c>
      <c r="N25" s="49" t="s">
        <v>214</v>
      </c>
      <c r="O25" s="49" t="s">
        <v>93</v>
      </c>
      <c r="P25" s="49" t="s">
        <v>215</v>
      </c>
    </row>
    <row r="26" spans="1:16" ht="18" customHeight="1" x14ac:dyDescent="0.25">
      <c r="A26" s="11">
        <v>25</v>
      </c>
      <c r="B26" s="12">
        <v>46220</v>
      </c>
      <c r="C26" s="14" t="s">
        <v>216</v>
      </c>
      <c r="D26" s="11" t="s">
        <v>13</v>
      </c>
      <c r="E26" s="11" t="s">
        <v>88</v>
      </c>
      <c r="F26" s="14" t="s">
        <v>117</v>
      </c>
      <c r="G26" s="13">
        <f t="shared" si="1"/>
        <v>3.3237333333333332</v>
      </c>
      <c r="H26" s="15">
        <v>24928000</v>
      </c>
      <c r="I26" s="15">
        <f t="shared" si="0"/>
        <v>7500000</v>
      </c>
      <c r="J26" s="11" t="str">
        <f>IF(OR(tblIN[[#This Row],[Receipt No.]]="",tblIN[[#This Row],[Receipt No.]]="Not received"),"Not received","Received")</f>
        <v>Received</v>
      </c>
      <c r="K26" s="14" t="str">
        <f>IF(OR(tblIN[[#This Row],[Payment No.]]="",tblIN[[#This Row],[Payment No.]]="Unpaid"),"Still on waiting Schedule Payment","Paid 100%")</f>
        <v>Paid 100%</v>
      </c>
      <c r="L26" s="14" t="s">
        <v>217</v>
      </c>
      <c r="M26" s="49" t="s">
        <v>218</v>
      </c>
      <c r="N26" s="49" t="s">
        <v>219</v>
      </c>
      <c r="O26" s="49" t="s">
        <v>93</v>
      </c>
      <c r="P26" s="49" t="s">
        <v>220</v>
      </c>
    </row>
    <row r="27" spans="1:16" ht="18" customHeight="1" x14ac:dyDescent="0.25">
      <c r="A27" s="11">
        <v>26</v>
      </c>
      <c r="B27" s="12">
        <v>46220</v>
      </c>
      <c r="C27" s="14" t="s">
        <v>221</v>
      </c>
      <c r="D27" s="11" t="s">
        <v>13</v>
      </c>
      <c r="E27" s="11" t="s">
        <v>88</v>
      </c>
      <c r="F27" s="14" t="s">
        <v>117</v>
      </c>
      <c r="G27" s="13">
        <f t="shared" si="1"/>
        <v>4.0141999999999998</v>
      </c>
      <c r="H27" s="15">
        <v>30106500</v>
      </c>
      <c r="I27" s="15">
        <f t="shared" si="0"/>
        <v>7500000</v>
      </c>
      <c r="J27" s="11" t="str">
        <f>IF(OR(tblIN[[#This Row],[Receipt No.]]="",tblIN[[#This Row],[Receipt No.]]="Not received"),"Not received","Received")</f>
        <v>Received</v>
      </c>
      <c r="K27" s="14" t="str">
        <f>IF(OR(tblIN[[#This Row],[Payment No.]]="",tblIN[[#This Row],[Payment No.]]="Unpaid"),"Still on waiting Schedule Payment","Paid 100%")</f>
        <v>Paid 100%</v>
      </c>
      <c r="L27" s="14" t="s">
        <v>222</v>
      </c>
      <c r="M27" s="49" t="s">
        <v>223</v>
      </c>
      <c r="N27" s="49" t="s">
        <v>224</v>
      </c>
      <c r="O27" s="49" t="s">
        <v>93</v>
      </c>
      <c r="P27" s="49" t="s">
        <v>225</v>
      </c>
    </row>
    <row r="28" spans="1:16" ht="18" customHeight="1" x14ac:dyDescent="0.25">
      <c r="A28" s="11">
        <v>27</v>
      </c>
      <c r="B28" s="12">
        <v>46220</v>
      </c>
      <c r="C28" s="14" t="s">
        <v>226</v>
      </c>
      <c r="D28" s="11" t="s">
        <v>13</v>
      </c>
      <c r="E28" s="11" t="s">
        <v>179</v>
      </c>
      <c r="F28" s="14" t="s">
        <v>117</v>
      </c>
      <c r="G28" s="13">
        <f t="shared" si="1"/>
        <v>6.9365333333333332</v>
      </c>
      <c r="H28" s="15">
        <v>52024000</v>
      </c>
      <c r="I28" s="15">
        <f t="shared" si="0"/>
        <v>7500000</v>
      </c>
      <c r="J28" s="11" t="str">
        <f>IF(OR(tblIN[[#This Row],[Receipt No.]]="",tblIN[[#This Row],[Receipt No.]]="Not received"),"Not received","Received")</f>
        <v>Received</v>
      </c>
      <c r="K28" s="14" t="str">
        <f>IF(OR(tblIN[[#This Row],[Payment No.]]="",tblIN[[#This Row],[Payment No.]]="Unpaid"),"Still on waiting Schedule Payment","Paid 100%")</f>
        <v>Paid 100%</v>
      </c>
      <c r="L28" s="14" t="s">
        <v>227</v>
      </c>
      <c r="M28" s="49" t="s">
        <v>228</v>
      </c>
      <c r="N28" s="49" t="s">
        <v>229</v>
      </c>
      <c r="O28" s="49" t="s">
        <v>93</v>
      </c>
      <c r="P28" s="49" t="s">
        <v>230</v>
      </c>
    </row>
    <row r="29" spans="1:16" ht="18" customHeight="1" x14ac:dyDescent="0.25">
      <c r="A29" s="11">
        <v>28</v>
      </c>
      <c r="B29" s="12">
        <v>46233</v>
      </c>
      <c r="C29" s="14" t="s">
        <v>231</v>
      </c>
      <c r="D29" s="11" t="s">
        <v>13</v>
      </c>
      <c r="E29" s="11" t="s">
        <v>88</v>
      </c>
      <c r="F29" s="14" t="s">
        <v>117</v>
      </c>
      <c r="G29" s="13">
        <f t="shared" si="1"/>
        <v>9.9406999999999996</v>
      </c>
      <c r="H29" s="15">
        <v>74555250</v>
      </c>
      <c r="I29" s="15">
        <f t="shared" si="0"/>
        <v>7500000</v>
      </c>
      <c r="J29" s="11" t="str">
        <f>IF(OR(tblIN[[#This Row],[Receipt No.]]="",tblIN[[#This Row],[Receipt No.]]="Not received"),"Not received","Received")</f>
        <v>Received</v>
      </c>
      <c r="K29" s="14" t="str">
        <f>IF(OR(tblIN[[#This Row],[Payment No.]]="",tblIN[[#This Row],[Payment No.]]="Unpaid"),"Still on waiting Schedule Payment","Paid 100%")</f>
        <v>Paid 100%</v>
      </c>
      <c r="L29" s="14" t="s">
        <v>232</v>
      </c>
      <c r="M29" s="49" t="s">
        <v>233</v>
      </c>
      <c r="N29" s="49" t="s">
        <v>234</v>
      </c>
      <c r="O29" s="49" t="s">
        <v>93</v>
      </c>
      <c r="P29" s="49" t="s">
        <v>235</v>
      </c>
    </row>
    <row r="30" spans="1:16" ht="18" customHeight="1" x14ac:dyDescent="0.25">
      <c r="A30" s="11">
        <v>29</v>
      </c>
      <c r="B30" s="12">
        <v>46233</v>
      </c>
      <c r="C30" s="14" t="s">
        <v>236</v>
      </c>
      <c r="D30" s="11" t="s">
        <v>13</v>
      </c>
      <c r="E30" s="11" t="s">
        <v>88</v>
      </c>
      <c r="F30" s="14" t="s">
        <v>117</v>
      </c>
      <c r="G30" s="13">
        <f t="shared" si="1"/>
        <v>10.6625</v>
      </c>
      <c r="H30" s="15">
        <v>79968750</v>
      </c>
      <c r="I30" s="15">
        <f t="shared" si="0"/>
        <v>7500000</v>
      </c>
      <c r="J30" s="11" t="str">
        <f>IF(OR(tblIN[[#This Row],[Receipt No.]]="",tblIN[[#This Row],[Receipt No.]]="Not received"),"Not received","Received")</f>
        <v>Received</v>
      </c>
      <c r="K30" s="14" t="str">
        <f>IF(OR(tblIN[[#This Row],[Payment No.]]="",tblIN[[#This Row],[Payment No.]]="Unpaid"),"Still on waiting Schedule Payment","Paid 100%")</f>
        <v>Still on waiting Schedule Payment</v>
      </c>
      <c r="L30" s="14" t="s">
        <v>237</v>
      </c>
      <c r="M30" s="49" t="s">
        <v>238</v>
      </c>
      <c r="N30" s="49" t="s">
        <v>239</v>
      </c>
      <c r="O30" s="49" t="s">
        <v>93</v>
      </c>
      <c r="P30" s="49" t="s">
        <v>240</v>
      </c>
    </row>
    <row r="31" spans="1:16" ht="18" customHeight="1" x14ac:dyDescent="0.25">
      <c r="A31" s="11">
        <v>30</v>
      </c>
      <c r="B31" s="12">
        <v>46241</v>
      </c>
      <c r="C31" s="14" t="s">
        <v>241</v>
      </c>
      <c r="D31" s="11" t="s">
        <v>13</v>
      </c>
      <c r="E31" s="11" t="s">
        <v>88</v>
      </c>
      <c r="F31" s="14" t="s">
        <v>123</v>
      </c>
      <c r="G31" s="13">
        <v>3.8</v>
      </c>
      <c r="H31" s="15">
        <v>28532250</v>
      </c>
      <c r="I31" s="15">
        <f t="shared" si="0"/>
        <v>7508486.8421052638</v>
      </c>
      <c r="J31" s="11" t="str">
        <f>IF(OR(tblIN[[#This Row],[Receipt No.]]="",tblIN[[#This Row],[Receipt No.]]="Not received"),"Not received","Received")</f>
        <v>Received</v>
      </c>
      <c r="K31" s="14" t="str">
        <f>IF(OR(tblIN[[#This Row],[Payment No.]]="",tblIN[[#This Row],[Payment No.]]="Unpaid"),"Still on waiting Schedule Payment","Paid 100%")</f>
        <v>Paid 100%</v>
      </c>
      <c r="L31" s="14" t="s">
        <v>242</v>
      </c>
      <c r="M31" s="49" t="s">
        <v>243</v>
      </c>
      <c r="N31" s="49" t="s">
        <v>244</v>
      </c>
      <c r="O31" s="49" t="s">
        <v>93</v>
      </c>
      <c r="P31" s="49" t="s">
        <v>245</v>
      </c>
    </row>
    <row r="32" spans="1:16" ht="18" customHeight="1" x14ac:dyDescent="0.25">
      <c r="A32" s="11">
        <v>31</v>
      </c>
      <c r="B32" s="12">
        <v>46252</v>
      </c>
      <c r="C32" s="14" t="s">
        <v>246</v>
      </c>
      <c r="D32" s="11" t="s">
        <v>13</v>
      </c>
      <c r="E32" s="11" t="s">
        <v>88</v>
      </c>
      <c r="F32" s="14" t="s">
        <v>117</v>
      </c>
      <c r="G32" s="13">
        <f>H32/7500000</f>
        <v>3.0209000000000001</v>
      </c>
      <c r="H32" s="15">
        <v>22656750</v>
      </c>
      <c r="I32" s="15">
        <f t="shared" si="0"/>
        <v>7500000</v>
      </c>
      <c r="J32" s="11" t="str">
        <f>IF(OR(tblIN[[#This Row],[Receipt No.]]="",tblIN[[#This Row],[Receipt No.]]="Not received"),"Not received","Received")</f>
        <v>Received</v>
      </c>
      <c r="K32" s="14" t="str">
        <f>IF(OR(tblIN[[#This Row],[Payment No.]]="",tblIN[[#This Row],[Payment No.]]="Unpaid"),"Still on waiting Schedule Payment","Paid 100%")</f>
        <v>Paid 100%</v>
      </c>
      <c r="L32" s="14" t="s">
        <v>247</v>
      </c>
      <c r="M32" s="49" t="s">
        <v>248</v>
      </c>
      <c r="N32" s="49" t="s">
        <v>249</v>
      </c>
      <c r="O32" s="49" t="s">
        <v>93</v>
      </c>
      <c r="P32" s="49" t="s">
        <v>250</v>
      </c>
    </row>
    <row r="33" spans="1:16" ht="18" customHeight="1" x14ac:dyDescent="0.25">
      <c r="A33" s="11">
        <v>32</v>
      </c>
      <c r="B33" s="12">
        <v>46273</v>
      </c>
      <c r="C33" s="14" t="s">
        <v>251</v>
      </c>
      <c r="D33" s="11" t="s">
        <v>13</v>
      </c>
      <c r="E33" s="11" t="s">
        <v>88</v>
      </c>
      <c r="F33" s="14" t="s">
        <v>117</v>
      </c>
      <c r="G33" s="13">
        <f>H33/7500000</f>
        <v>3.5188000000000001</v>
      </c>
      <c r="H33" s="15">
        <v>26391000</v>
      </c>
      <c r="I33" s="15">
        <f t="shared" si="0"/>
        <v>7500000</v>
      </c>
      <c r="J33" s="11" t="str">
        <f>IF(OR(tblIN[[#This Row],[Receipt No.]]="",tblIN[[#This Row],[Receipt No.]]="Not received"),"Not received","Received")</f>
        <v>Received</v>
      </c>
      <c r="K33" s="14" t="str">
        <f>IF(OR(tblIN[[#This Row],[Payment No.]]="",tblIN[[#This Row],[Payment No.]]="Unpaid"),"Still on waiting Schedule Payment","Paid 100%")</f>
        <v>Still on waiting Schedule Payment</v>
      </c>
      <c r="L33" s="14" t="s">
        <v>252</v>
      </c>
      <c r="M33" s="49" t="s">
        <v>253</v>
      </c>
      <c r="N33" s="49" t="s">
        <v>254</v>
      </c>
      <c r="O33" s="49" t="s">
        <v>93</v>
      </c>
      <c r="P33" s="49" t="s">
        <v>240</v>
      </c>
    </row>
    <row r="34" spans="1:16" ht="18" customHeight="1" x14ac:dyDescent="0.25">
      <c r="A34" s="11">
        <v>33</v>
      </c>
      <c r="B34" s="12">
        <v>46031</v>
      </c>
      <c r="C34" s="14" t="s">
        <v>255</v>
      </c>
      <c r="D34" s="11" t="s">
        <v>15</v>
      </c>
      <c r="E34" s="11" t="s">
        <v>88</v>
      </c>
      <c r="F34" s="14" t="s">
        <v>89</v>
      </c>
      <c r="G34" s="13">
        <v>0.93259999999999998</v>
      </c>
      <c r="H34" s="15">
        <v>5222560</v>
      </c>
      <c r="I34" s="15">
        <f t="shared" ref="I34:I65" si="2">IF(G34=0,0,H34/G34)</f>
        <v>5600000</v>
      </c>
      <c r="J34" s="11" t="str">
        <f>IF(OR(tblIN[[#This Row],[Receipt No.]]="",tblIN[[#This Row],[Receipt No.]]="Not received"),"Not received","Received")</f>
        <v>Received</v>
      </c>
      <c r="K34" s="14" t="str">
        <f>IF(OR(tblIN[[#This Row],[Payment No.]]="",tblIN[[#This Row],[Payment No.]]="Unpaid"),"Still on waiting Schedule Payment","Paid 100%")</f>
        <v>Paid 100%</v>
      </c>
      <c r="L34" s="14" t="s">
        <v>256</v>
      </c>
      <c r="M34" s="49" t="s">
        <v>257</v>
      </c>
      <c r="N34" s="49" t="s">
        <v>258</v>
      </c>
      <c r="O34" s="49" t="s">
        <v>93</v>
      </c>
      <c r="P34" s="49" t="s">
        <v>259</v>
      </c>
    </row>
    <row r="35" spans="1:16" ht="18" customHeight="1" x14ac:dyDescent="0.25">
      <c r="A35" s="11">
        <v>34</v>
      </c>
      <c r="B35" s="12">
        <v>46048</v>
      </c>
      <c r="C35" s="14" t="s">
        <v>260</v>
      </c>
      <c r="D35" s="11" t="s">
        <v>15</v>
      </c>
      <c r="E35" s="11" t="s">
        <v>88</v>
      </c>
      <c r="F35" s="14" t="s">
        <v>261</v>
      </c>
      <c r="G35" s="13">
        <v>1</v>
      </c>
      <c r="H35" s="15">
        <v>6000000</v>
      </c>
      <c r="I35" s="15">
        <f t="shared" si="2"/>
        <v>6000000</v>
      </c>
      <c r="J35" s="11" t="str">
        <f>IF(OR(tblIN[[#This Row],[Receipt No.]]="",tblIN[[#This Row],[Receipt No.]]="Not received"),"Not received","Received")</f>
        <v>Received</v>
      </c>
      <c r="K35" s="14" t="str">
        <f>IF(OR(tblIN[[#This Row],[Payment No.]]="",tblIN[[#This Row],[Payment No.]]="Unpaid"),"Still on waiting Schedule Payment","Paid 100%")</f>
        <v>Paid 100%</v>
      </c>
      <c r="L35" s="14" t="s">
        <v>262</v>
      </c>
      <c r="M35" s="49" t="s">
        <v>263</v>
      </c>
      <c r="N35" s="49" t="s">
        <v>264</v>
      </c>
      <c r="O35" s="49" t="s">
        <v>93</v>
      </c>
      <c r="P35" s="49" t="s">
        <v>265</v>
      </c>
    </row>
    <row r="36" spans="1:16" ht="18" customHeight="1" x14ac:dyDescent="0.25">
      <c r="A36" s="11">
        <v>35</v>
      </c>
      <c r="B36" s="12">
        <v>46063</v>
      </c>
      <c r="C36" s="14" t="s">
        <v>266</v>
      </c>
      <c r="D36" s="11" t="s">
        <v>15</v>
      </c>
      <c r="E36" s="11" t="s">
        <v>88</v>
      </c>
      <c r="F36" s="14" t="s">
        <v>89</v>
      </c>
      <c r="G36" s="13">
        <v>0.63939999999999997</v>
      </c>
      <c r="H36" s="15">
        <v>3580640</v>
      </c>
      <c r="I36" s="15">
        <f t="shared" si="2"/>
        <v>5600000</v>
      </c>
      <c r="J36" s="11" t="str">
        <f>IF(OR(tblIN[[#This Row],[Receipt No.]]="",tblIN[[#This Row],[Receipt No.]]="Not received"),"Not received","Received")</f>
        <v>Received</v>
      </c>
      <c r="K36" s="14" t="str">
        <f>IF(OR(tblIN[[#This Row],[Payment No.]]="",tblIN[[#This Row],[Payment No.]]="Unpaid"),"Still on waiting Schedule Payment","Paid 100%")</f>
        <v>Paid 100%</v>
      </c>
      <c r="L36" s="14" t="s">
        <v>267</v>
      </c>
      <c r="M36" s="49" t="s">
        <v>268</v>
      </c>
      <c r="N36" s="49" t="s">
        <v>269</v>
      </c>
      <c r="O36" s="49" t="s">
        <v>93</v>
      </c>
      <c r="P36" s="49" t="s">
        <v>270</v>
      </c>
    </row>
    <row r="37" spans="1:16" ht="18" customHeight="1" x14ac:dyDescent="0.25">
      <c r="A37" s="11">
        <v>36</v>
      </c>
      <c r="B37" s="12">
        <v>46112</v>
      </c>
      <c r="C37" s="14" t="s">
        <v>271</v>
      </c>
      <c r="D37" s="11" t="s">
        <v>15</v>
      </c>
      <c r="E37" s="11" t="s">
        <v>88</v>
      </c>
      <c r="F37" s="14" t="s">
        <v>272</v>
      </c>
      <c r="G37" s="13">
        <v>9.1448999999999998</v>
      </c>
      <c r="H37" s="15">
        <v>50296950</v>
      </c>
      <c r="I37" s="15">
        <f t="shared" si="2"/>
        <v>5500000</v>
      </c>
      <c r="J37" s="11" t="str">
        <f>IF(OR(tblIN[[#This Row],[Receipt No.]]="",tblIN[[#This Row],[Receipt No.]]="Not received"),"Not received","Received")</f>
        <v>Received</v>
      </c>
      <c r="K37" s="14" t="str">
        <f>IF(OR(tblIN[[#This Row],[Payment No.]]="",tblIN[[#This Row],[Payment No.]]="Unpaid"),"Still on waiting Schedule Payment","Paid 100%")</f>
        <v>Paid 100%</v>
      </c>
      <c r="L37" s="14" t="s">
        <v>273</v>
      </c>
      <c r="M37" s="49" t="s">
        <v>274</v>
      </c>
      <c r="N37" s="49" t="s">
        <v>275</v>
      </c>
      <c r="O37" s="49" t="s">
        <v>93</v>
      </c>
      <c r="P37" s="49" t="s">
        <v>276</v>
      </c>
    </row>
    <row r="38" spans="1:16" ht="18" customHeight="1" x14ac:dyDescent="0.25">
      <c r="A38" s="11">
        <v>37</v>
      </c>
      <c r="B38" s="12">
        <v>46130</v>
      </c>
      <c r="C38" s="14" t="s">
        <v>277</v>
      </c>
      <c r="D38" s="11" t="s">
        <v>15</v>
      </c>
      <c r="E38" s="11" t="s">
        <v>88</v>
      </c>
      <c r="F38" s="14" t="s">
        <v>123</v>
      </c>
      <c r="G38" s="13">
        <v>7.18675</v>
      </c>
      <c r="H38" s="15">
        <v>24297924</v>
      </c>
      <c r="I38" s="15">
        <f t="shared" si="2"/>
        <v>3380933.523498104</v>
      </c>
      <c r="J38" s="11" t="str">
        <f>IF(OR(tblIN[[#This Row],[Receipt No.]]="",tblIN[[#This Row],[Receipt No.]]="Not received"),"Not received","Received")</f>
        <v>Received</v>
      </c>
      <c r="K38" s="14" t="str">
        <f>IF(OR(tblIN[[#This Row],[Payment No.]]="",tblIN[[#This Row],[Payment No.]]="Unpaid"),"Still on waiting Schedule Payment","Paid 100%")</f>
        <v>Paid 100%</v>
      </c>
      <c r="L38" s="14" t="s">
        <v>278</v>
      </c>
      <c r="M38" s="49" t="s">
        <v>279</v>
      </c>
      <c r="N38" s="49" t="s">
        <v>280</v>
      </c>
      <c r="O38" s="49" t="s">
        <v>93</v>
      </c>
      <c r="P38" s="49" t="s">
        <v>281</v>
      </c>
    </row>
    <row r="39" spans="1:16" ht="18" customHeight="1" x14ac:dyDescent="0.25">
      <c r="A39" s="11">
        <v>38</v>
      </c>
      <c r="B39" s="12">
        <v>46133</v>
      </c>
      <c r="C39" s="14" t="s">
        <v>282</v>
      </c>
      <c r="D39" s="11" t="s">
        <v>15</v>
      </c>
      <c r="E39" s="11" t="s">
        <v>88</v>
      </c>
      <c r="F39" s="14" t="s">
        <v>123</v>
      </c>
      <c r="G39" s="13">
        <v>8.1791999999999998</v>
      </c>
      <c r="H39" s="15">
        <v>30069184</v>
      </c>
      <c r="I39" s="15">
        <f t="shared" si="2"/>
        <v>3676298.9045383413</v>
      </c>
      <c r="J39" s="11" t="str">
        <f>IF(OR(tblIN[[#This Row],[Receipt No.]]="",tblIN[[#This Row],[Receipt No.]]="Not received"),"Not received","Received")</f>
        <v>Received</v>
      </c>
      <c r="K39" s="14" t="str">
        <f>IF(OR(tblIN[[#This Row],[Payment No.]]="",tblIN[[#This Row],[Payment No.]]="Unpaid"),"Still on waiting Schedule Payment","Paid 100%")</f>
        <v>Paid 100%</v>
      </c>
      <c r="L39" s="14" t="s">
        <v>283</v>
      </c>
      <c r="M39" s="49" t="s">
        <v>284</v>
      </c>
      <c r="N39" s="49" t="s">
        <v>285</v>
      </c>
      <c r="O39" s="49" t="s">
        <v>93</v>
      </c>
      <c r="P39" s="49" t="s">
        <v>286</v>
      </c>
    </row>
    <row r="40" spans="1:16" ht="18" customHeight="1" x14ac:dyDescent="0.25">
      <c r="A40" s="11">
        <v>39</v>
      </c>
      <c r="B40" s="12">
        <v>46139</v>
      </c>
      <c r="C40" s="14" t="s">
        <v>287</v>
      </c>
      <c r="D40" s="11" t="s">
        <v>15</v>
      </c>
      <c r="E40" s="11" t="s">
        <v>88</v>
      </c>
      <c r="F40" s="14" t="s">
        <v>272</v>
      </c>
      <c r="G40" s="13">
        <v>9.5695125000000001</v>
      </c>
      <c r="H40" s="15">
        <v>52632318.75</v>
      </c>
      <c r="I40" s="15">
        <f t="shared" si="2"/>
        <v>5500000</v>
      </c>
      <c r="J40" s="11" t="str">
        <f>IF(OR(tblIN[[#This Row],[Receipt No.]]="",tblIN[[#This Row],[Receipt No.]]="Not received"),"Not received","Received")</f>
        <v>Received</v>
      </c>
      <c r="K40" s="14" t="str">
        <f>IF(OR(tblIN[[#This Row],[Payment No.]]="",tblIN[[#This Row],[Payment No.]]="Unpaid"),"Still on waiting Schedule Payment","Paid 100%")</f>
        <v>Paid 100%</v>
      </c>
      <c r="L40" s="14" t="s">
        <v>288</v>
      </c>
      <c r="M40" s="49" t="s">
        <v>289</v>
      </c>
      <c r="N40" s="49" t="s">
        <v>290</v>
      </c>
      <c r="O40" s="49" t="s">
        <v>291</v>
      </c>
      <c r="P40" s="49" t="s">
        <v>292</v>
      </c>
    </row>
    <row r="41" spans="1:16" ht="18" customHeight="1" x14ac:dyDescent="0.25">
      <c r="A41" s="11">
        <v>40</v>
      </c>
      <c r="B41" s="12">
        <v>46139</v>
      </c>
      <c r="C41" s="14" t="s">
        <v>293</v>
      </c>
      <c r="D41" s="11" t="s">
        <v>15</v>
      </c>
      <c r="E41" s="11" t="s">
        <v>88</v>
      </c>
      <c r="F41" s="14" t="s">
        <v>123</v>
      </c>
      <c r="G41" s="13">
        <v>6.4530000000000003</v>
      </c>
      <c r="H41" s="15">
        <v>25567560</v>
      </c>
      <c r="I41" s="15">
        <f t="shared" si="2"/>
        <v>3962119.9442119943</v>
      </c>
      <c r="J41" s="11" t="str">
        <f>IF(OR(tblIN[[#This Row],[Receipt No.]]="",tblIN[[#This Row],[Receipt No.]]="Not received"),"Not received","Received")</f>
        <v>Received</v>
      </c>
      <c r="K41" s="14" t="str">
        <f>IF(OR(tblIN[[#This Row],[Payment No.]]="",tblIN[[#This Row],[Payment No.]]="Unpaid"),"Still on waiting Schedule Payment","Paid 100%")</f>
        <v>Paid 100%</v>
      </c>
      <c r="L41" s="14" t="s">
        <v>294</v>
      </c>
      <c r="M41" s="49" t="s">
        <v>295</v>
      </c>
      <c r="N41" s="49" t="s">
        <v>296</v>
      </c>
      <c r="O41" s="49" t="s">
        <v>93</v>
      </c>
      <c r="P41" s="49" t="s">
        <v>297</v>
      </c>
    </row>
    <row r="42" spans="1:16" ht="18" customHeight="1" x14ac:dyDescent="0.25">
      <c r="A42" s="11">
        <v>41</v>
      </c>
      <c r="B42" s="12">
        <v>46179</v>
      </c>
      <c r="C42" s="14" t="s">
        <v>298</v>
      </c>
      <c r="D42" s="11" t="s">
        <v>15</v>
      </c>
      <c r="E42" s="11" t="s">
        <v>88</v>
      </c>
      <c r="F42" s="14" t="s">
        <v>123</v>
      </c>
      <c r="G42" s="13">
        <v>4.1710000000000003</v>
      </c>
      <c r="H42" s="15">
        <v>18643706</v>
      </c>
      <c r="I42" s="15">
        <f t="shared" si="2"/>
        <v>4469840.8055622149</v>
      </c>
      <c r="J42" s="11" t="str">
        <f>IF(OR(tblIN[[#This Row],[Receipt No.]]="",tblIN[[#This Row],[Receipt No.]]="Not received"),"Not received","Received")</f>
        <v>Received</v>
      </c>
      <c r="K42" s="14" t="str">
        <f>IF(OR(tblIN[[#This Row],[Payment No.]]="",tblIN[[#This Row],[Payment No.]]="Unpaid"),"Still on waiting Schedule Payment","Paid 100%")</f>
        <v>Paid 100%</v>
      </c>
      <c r="L42" s="14" t="s">
        <v>299</v>
      </c>
      <c r="M42" s="49" t="s">
        <v>300</v>
      </c>
      <c r="N42" s="49" t="s">
        <v>301</v>
      </c>
      <c r="O42" s="49" t="s">
        <v>302</v>
      </c>
      <c r="P42" s="49" t="s">
        <v>303</v>
      </c>
    </row>
    <row r="43" spans="1:16" ht="18" customHeight="1" x14ac:dyDescent="0.25">
      <c r="A43" s="11">
        <v>42</v>
      </c>
      <c r="B43" s="12">
        <v>46191</v>
      </c>
      <c r="C43" s="14" t="s">
        <v>304</v>
      </c>
      <c r="D43" s="11" t="s">
        <v>15</v>
      </c>
      <c r="E43" s="11" t="s">
        <v>88</v>
      </c>
      <c r="F43" s="14" t="s">
        <v>117</v>
      </c>
      <c r="G43" s="13">
        <f>H43/5500000</f>
        <v>5.4258181818181814</v>
      </c>
      <c r="H43" s="15">
        <v>29842000</v>
      </c>
      <c r="I43" s="15">
        <f t="shared" si="2"/>
        <v>5500000</v>
      </c>
      <c r="J43" s="11" t="str">
        <f>IF(OR(tblIN[[#This Row],[Receipt No.]]="",tblIN[[#This Row],[Receipt No.]]="Not received"),"Not received","Received")</f>
        <v>Received</v>
      </c>
      <c r="K43" s="14" t="str">
        <f>IF(OR(tblIN[[#This Row],[Payment No.]]="",tblIN[[#This Row],[Payment No.]]="Unpaid"),"Still on waiting Schedule Payment","Paid 100%")</f>
        <v>Paid 100%</v>
      </c>
      <c r="L43" s="14" t="s">
        <v>305</v>
      </c>
      <c r="M43" s="49" t="s">
        <v>306</v>
      </c>
      <c r="N43" s="49" t="s">
        <v>307</v>
      </c>
      <c r="O43" s="49" t="s">
        <v>308</v>
      </c>
      <c r="P43" s="49" t="s">
        <v>309</v>
      </c>
    </row>
    <row r="44" spans="1:16" ht="18" customHeight="1" x14ac:dyDescent="0.25">
      <c r="A44" s="11">
        <v>43</v>
      </c>
      <c r="B44" s="12">
        <v>46218</v>
      </c>
      <c r="C44" s="14" t="s">
        <v>310</v>
      </c>
      <c r="D44" s="11" t="s">
        <v>15</v>
      </c>
      <c r="E44" s="11" t="s">
        <v>88</v>
      </c>
      <c r="F44" s="14" t="s">
        <v>311</v>
      </c>
      <c r="G44" s="13">
        <v>10</v>
      </c>
      <c r="H44" s="15">
        <v>58500000</v>
      </c>
      <c r="I44" s="15">
        <f t="shared" si="2"/>
        <v>5850000</v>
      </c>
      <c r="J44" s="11" t="str">
        <f>IF(OR(tblIN[[#This Row],[Receipt No.]]="",tblIN[[#This Row],[Receipt No.]]="Not received"),"Not received","Received")</f>
        <v>Received</v>
      </c>
      <c r="K44" s="14" t="str">
        <f>IF(OR(tblIN[[#This Row],[Payment No.]]="",tblIN[[#This Row],[Payment No.]]="Unpaid"),"Still on waiting Schedule Payment","Paid 100%")</f>
        <v>Paid 100%</v>
      </c>
      <c r="L44" s="14" t="s">
        <v>312</v>
      </c>
      <c r="M44" s="49" t="s">
        <v>313</v>
      </c>
      <c r="N44" s="49" t="s">
        <v>314</v>
      </c>
      <c r="O44" s="49" t="s">
        <v>315</v>
      </c>
      <c r="P44" s="49" t="s">
        <v>316</v>
      </c>
    </row>
    <row r="45" spans="1:16" ht="18" customHeight="1" x14ac:dyDescent="0.25">
      <c r="A45" s="11">
        <v>44</v>
      </c>
      <c r="B45" s="12">
        <v>46240</v>
      </c>
      <c r="C45" s="14" t="s">
        <v>317</v>
      </c>
      <c r="D45" s="11" t="s">
        <v>15</v>
      </c>
      <c r="E45" s="11" t="s">
        <v>88</v>
      </c>
      <c r="F45" s="14" t="s">
        <v>311</v>
      </c>
      <c r="G45" s="13">
        <f>6.9192+2.21435</f>
        <v>9.1335499999999996</v>
      </c>
      <c r="H45" s="15">
        <v>53694125</v>
      </c>
      <c r="I45" s="15">
        <f t="shared" si="2"/>
        <v>5878779.3355267122</v>
      </c>
      <c r="J45" s="11" t="str">
        <f>IF(OR(tblIN[[#This Row],[Receipt No.]]="",tblIN[[#This Row],[Receipt No.]]="Not received"),"Not received","Received")</f>
        <v>Received</v>
      </c>
      <c r="K45" s="14" t="str">
        <f>IF(OR(tblIN[[#This Row],[Payment No.]]="",tblIN[[#This Row],[Payment No.]]="Unpaid"),"Still on waiting Schedule Payment","Paid 100%")</f>
        <v>Paid 100%</v>
      </c>
      <c r="L45" s="14" t="s">
        <v>318</v>
      </c>
      <c r="M45" s="49" t="s">
        <v>319</v>
      </c>
      <c r="N45" s="49" t="s">
        <v>320</v>
      </c>
      <c r="O45" s="49" t="s">
        <v>321</v>
      </c>
      <c r="P45" s="49" t="s">
        <v>322</v>
      </c>
    </row>
    <row r="46" spans="1:16" ht="18" customHeight="1" x14ac:dyDescent="0.25">
      <c r="A46" s="11">
        <v>45</v>
      </c>
      <c r="B46" s="12">
        <v>46241</v>
      </c>
      <c r="C46" s="14" t="s">
        <v>323</v>
      </c>
      <c r="D46" s="11" t="s">
        <v>15</v>
      </c>
      <c r="E46" s="11" t="s">
        <v>88</v>
      </c>
      <c r="F46" s="14" t="s">
        <v>117</v>
      </c>
      <c r="G46" s="13">
        <f>3.6951+1.1868+1.4754</f>
        <v>6.3573000000000004</v>
      </c>
      <c r="H46" s="15">
        <v>36812700</v>
      </c>
      <c r="I46" s="15">
        <f t="shared" si="2"/>
        <v>5790618.6588646118</v>
      </c>
      <c r="J46" s="11" t="str">
        <f>IF(OR(tblIN[[#This Row],[Receipt No.]]="",tblIN[[#This Row],[Receipt No.]]="Not received"),"Not received","Received")</f>
        <v>Received</v>
      </c>
      <c r="K46" s="14" t="str">
        <f>IF(OR(tblIN[[#This Row],[Payment No.]]="",tblIN[[#This Row],[Payment No.]]="Unpaid"),"Still on waiting Schedule Payment","Paid 100%")</f>
        <v>Paid 100%</v>
      </c>
      <c r="L46" s="14" t="s">
        <v>324</v>
      </c>
      <c r="M46" s="49" t="s">
        <v>325</v>
      </c>
      <c r="N46" s="49" t="s">
        <v>326</v>
      </c>
      <c r="O46" s="49" t="s">
        <v>93</v>
      </c>
      <c r="P46" s="49" t="s">
        <v>327</v>
      </c>
    </row>
    <row r="47" spans="1:16" ht="18" customHeight="1" x14ac:dyDescent="0.25">
      <c r="A47" s="11">
        <v>46</v>
      </c>
      <c r="B47" s="12">
        <v>46283</v>
      </c>
      <c r="C47" s="14" t="s">
        <v>328</v>
      </c>
      <c r="D47" s="11" t="s">
        <v>13</v>
      </c>
      <c r="E47" s="11" t="s">
        <v>88</v>
      </c>
      <c r="F47" s="14" t="s">
        <v>117</v>
      </c>
      <c r="G47" s="13">
        <v>1.1761999999999999</v>
      </c>
      <c r="H47" s="15">
        <v>16466800</v>
      </c>
      <c r="I47" s="15">
        <f t="shared" si="2"/>
        <v>14000000.000000002</v>
      </c>
      <c r="J47" s="11" t="str">
        <f>IF(OR(tblIN[[#This Row],[Receipt No.]]="",tblIN[[#This Row],[Receipt No.]]="Not received"),"Not received","Received")</f>
        <v>Received</v>
      </c>
      <c r="K47" s="14" t="str">
        <f>IF(OR(tblIN[[#This Row],[Payment No.]]="",tblIN[[#This Row],[Payment No.]]="Unpaid"),"Still on waiting Schedule Payment","Paid 100%")</f>
        <v>Still on waiting Schedule Payment</v>
      </c>
      <c r="L47" s="14" t="s">
        <v>329</v>
      </c>
      <c r="M47" s="49" t="s">
        <v>330</v>
      </c>
      <c r="N47" s="49" t="s">
        <v>331</v>
      </c>
      <c r="O47" s="49" t="s">
        <v>93</v>
      </c>
      <c r="P47" s="49" t="s">
        <v>240</v>
      </c>
    </row>
    <row r="48" spans="1:16" ht="18" customHeight="1" x14ac:dyDescent="0.25">
      <c r="A48" s="11">
        <v>47</v>
      </c>
      <c r="B48" s="12">
        <v>46297</v>
      </c>
      <c r="C48" s="14" t="s">
        <v>332</v>
      </c>
      <c r="D48" s="11" t="s">
        <v>17</v>
      </c>
      <c r="E48" s="11" t="s">
        <v>88</v>
      </c>
      <c r="F48" s="14" t="s">
        <v>333</v>
      </c>
      <c r="G48" s="13">
        <v>0.9839</v>
      </c>
      <c r="H48" s="15">
        <v>3050090</v>
      </c>
      <c r="I48" s="15">
        <f t="shared" si="2"/>
        <v>3100000</v>
      </c>
      <c r="J48" s="11" t="str">
        <f>IF(OR(tblIN[[#This Row],[Receipt No.]]="",tblIN[[#This Row],[Receipt No.]]="Not received"),"Not received","Received")</f>
        <v>Received</v>
      </c>
      <c r="K48" s="14" t="str">
        <f>IF(OR(tblIN[[#This Row],[Payment No.]]="",tblIN[[#This Row],[Payment No.]]="Unpaid"),"Still on waiting Schedule Payment","Paid 100%")</f>
        <v>Paid 100%</v>
      </c>
      <c r="L48" s="14" t="s">
        <v>334</v>
      </c>
      <c r="M48" s="49" t="s">
        <v>335</v>
      </c>
      <c r="N48" s="49" t="s">
        <v>336</v>
      </c>
      <c r="O48" s="49" t="s">
        <v>93</v>
      </c>
      <c r="P48" s="49" t="s">
        <v>337</v>
      </c>
    </row>
    <row r="49" spans="1:16" ht="18" customHeight="1" x14ac:dyDescent="0.25">
      <c r="A49" s="11">
        <v>48</v>
      </c>
      <c r="B49" s="12">
        <v>46302</v>
      </c>
      <c r="C49" s="14" t="s">
        <v>338</v>
      </c>
      <c r="D49" s="11" t="s">
        <v>13</v>
      </c>
      <c r="E49" s="11" t="s">
        <v>88</v>
      </c>
      <c r="F49" s="14" t="s">
        <v>117</v>
      </c>
      <c r="G49" s="13">
        <v>3.3732000000000002</v>
      </c>
      <c r="H49" s="15">
        <v>25299000</v>
      </c>
      <c r="I49" s="15">
        <f t="shared" si="2"/>
        <v>7500000</v>
      </c>
      <c r="J49" s="11" t="str">
        <f>IF(OR(tblIN[[#This Row],[Receipt No.]]="",tblIN[[#This Row],[Receipt No.]]="Not received"),"Not received","Received")</f>
        <v>Received</v>
      </c>
      <c r="K49" s="14" t="str">
        <f>IF(OR(tblIN[[#This Row],[Payment No.]]="",tblIN[[#This Row],[Payment No.]]="Unpaid"),"Still on waiting Schedule Payment","Paid 100%")</f>
        <v>Still on waiting Schedule Payment</v>
      </c>
      <c r="L49" s="14" t="s">
        <v>339</v>
      </c>
      <c r="M49" s="49" t="s">
        <v>340</v>
      </c>
      <c r="N49" s="49" t="s">
        <v>341</v>
      </c>
      <c r="O49" s="49" t="s">
        <v>93</v>
      </c>
      <c r="P49" s="49" t="s">
        <v>240</v>
      </c>
    </row>
    <row r="50" spans="1:16" ht="18" customHeight="1" x14ac:dyDescent="0.25">
      <c r="A50" s="11">
        <v>49</v>
      </c>
      <c r="B50" s="12">
        <v>46302</v>
      </c>
      <c r="C50" s="14" t="s">
        <v>342</v>
      </c>
      <c r="D50" s="11" t="s">
        <v>13</v>
      </c>
      <c r="E50" s="11" t="s">
        <v>88</v>
      </c>
      <c r="F50" s="14" t="s">
        <v>343</v>
      </c>
      <c r="G50" s="13">
        <v>3.0467</v>
      </c>
      <c r="H50" s="15">
        <v>22850250</v>
      </c>
      <c r="I50" s="15">
        <f t="shared" si="2"/>
        <v>7500000</v>
      </c>
      <c r="J50" s="11" t="str">
        <f>IF(OR(tblIN[[#This Row],[Receipt No.]]="",tblIN[[#This Row],[Receipt No.]]="Not received"),"Not received","Received")</f>
        <v>Received</v>
      </c>
      <c r="K50" s="14" t="str">
        <f>IF(OR(tblIN[[#This Row],[Payment No.]]="",tblIN[[#This Row],[Payment No.]]="Unpaid"),"Still on waiting Schedule Payment","Paid 100%")</f>
        <v>Paid 100%</v>
      </c>
      <c r="L50" s="14" t="s">
        <v>344</v>
      </c>
      <c r="M50" s="49" t="s">
        <v>345</v>
      </c>
      <c r="N50" s="49" t="s">
        <v>346</v>
      </c>
      <c r="O50" s="49" t="s">
        <v>93</v>
      </c>
      <c r="P50" s="49" t="s">
        <v>347</v>
      </c>
    </row>
    <row r="51" spans="1:16" ht="20.100000000000001" customHeight="1" x14ac:dyDescent="0.25">
      <c r="A51" s="11">
        <v>50</v>
      </c>
      <c r="B51" s="12"/>
      <c r="C51" s="14" t="s">
        <v>348</v>
      </c>
      <c r="D51" s="11" t="s">
        <v>13</v>
      </c>
      <c r="E51" s="11" t="s">
        <v>88</v>
      </c>
      <c r="F51" s="14" t="s">
        <v>117</v>
      </c>
      <c r="G51" s="13">
        <f>1.894305+1.059765+1.997415</f>
        <v>4.9514849999999999</v>
      </c>
      <c r="H51" s="15">
        <f>22500000+15000000</f>
        <v>37500000</v>
      </c>
      <c r="I51" s="15">
        <f t="shared" si="2"/>
        <v>7573485.5300985463</v>
      </c>
      <c r="J51" s="11" t="str">
        <f>IF(OR(tblIN[[#This Row],[Receipt No.]]="",tblIN[[#This Row],[Receipt No.]]="Not received"),"Not received","Received")</f>
        <v>Received</v>
      </c>
      <c r="K51" s="14" t="str">
        <f>IF(OR(tblIN[[#This Row],[Payment No.]]="",tblIN[[#This Row],[Payment No.]]="Unpaid"),"Still on waiting Schedule Payment","Paid 100%")</f>
        <v>Still on waiting Schedule Payment</v>
      </c>
      <c r="L51" s="14" t="s">
        <v>349</v>
      </c>
      <c r="M51" s="49" t="s">
        <v>350</v>
      </c>
      <c r="N51" s="49"/>
      <c r="O51" s="49" t="s">
        <v>93</v>
      </c>
      <c r="P51" s="49"/>
    </row>
    <row r="52" spans="1:16" x14ac:dyDescent="0.25">
      <c r="A52" s="56" t="s">
        <v>30</v>
      </c>
      <c r="B52" s="56"/>
      <c r="C52" s="57"/>
      <c r="D52" s="56"/>
      <c r="E52" s="56"/>
      <c r="F52" s="57"/>
      <c r="G52" s="60">
        <f>SUBTOTAL(109,tblIN[Volume (m³)])</f>
        <v>227.33926668181817</v>
      </c>
      <c r="H52" s="61">
        <f>SUBTOTAL(109,tblIN[Value (Rp)])</f>
        <v>1512843233.25</v>
      </c>
      <c r="I52" s="57"/>
      <c r="J52" s="56"/>
      <c r="K52" s="57"/>
      <c r="L52" s="57"/>
      <c r="M52" s="57"/>
      <c r="N52" s="57"/>
      <c r="O52" s="57"/>
      <c r="P52" s="57"/>
    </row>
  </sheetData>
  <conditionalFormatting sqref="K2:K52">
    <cfRule type="containsText" dxfId="3" priority="1" operator="containsText" text="Still on waiting Schedule Payment">
      <formula>NOT(ISERROR(SEARCH("Still on waiting Schedule Payment",K2)))</formula>
    </cfRule>
  </conditionalFormatting>
  <pageMargins left="0.75" right="0.75" top="1" bottom="1" header="0.511811023622047" footer="0.511811023622047"/>
  <pageSetup paperSize="9" fitToHeight="0" orientation="landscape"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
  <sheetViews>
    <sheetView showGridLines="0" workbookViewId="0">
      <pane ySplit="1" topLeftCell="A2" activePane="bottomLeft" state="frozen"/>
      <selection pane="bottomLeft" activeCell="F2" sqref="F2:F4"/>
    </sheetView>
  </sheetViews>
  <sheetFormatPr defaultRowHeight="15" x14ac:dyDescent="0.25"/>
  <cols>
    <col min="1" max="1" width="6" customWidth="1"/>
    <col min="2" max="2" width="13" customWidth="1"/>
    <col min="3" max="3" width="11" customWidth="1"/>
    <col min="4" max="4" width="14" customWidth="1"/>
    <col min="5" max="5" width="10" customWidth="1"/>
    <col min="6" max="6" width="12" customWidth="1"/>
    <col min="7" max="7" width="30" customWidth="1"/>
    <col min="8" max="8" width="14" customWidth="1"/>
    <col min="9" max="9" width="52" customWidth="1"/>
    <col min="10" max="10" width="44" customWidth="1"/>
  </cols>
  <sheetData>
    <row r="1" spans="1:10" ht="28.5" customHeight="1" x14ac:dyDescent="0.25">
      <c r="A1" s="58" t="s">
        <v>74</v>
      </c>
      <c r="B1" s="58" t="s">
        <v>351</v>
      </c>
      <c r="C1" s="58" t="s">
        <v>55</v>
      </c>
      <c r="D1" s="58" t="s">
        <v>53</v>
      </c>
      <c r="E1" s="58" t="s">
        <v>352</v>
      </c>
      <c r="F1" s="58" t="s">
        <v>33</v>
      </c>
      <c r="G1" s="58" t="s">
        <v>78</v>
      </c>
      <c r="H1" s="58" t="s">
        <v>76</v>
      </c>
      <c r="I1" s="58" t="s">
        <v>82</v>
      </c>
      <c r="J1" s="58" t="s">
        <v>62</v>
      </c>
    </row>
    <row r="2" spans="1:10" x14ac:dyDescent="0.25">
      <c r="A2" s="11">
        <v>1</v>
      </c>
      <c r="B2" s="12">
        <v>46315</v>
      </c>
      <c r="C2" s="11" t="s">
        <v>13</v>
      </c>
      <c r="D2" s="11">
        <v>3.5</v>
      </c>
      <c r="E2" s="15">
        <v>201</v>
      </c>
      <c r="F2" s="13">
        <v>1.8943049999999999</v>
      </c>
      <c r="G2" s="14" t="s">
        <v>117</v>
      </c>
      <c r="H2" s="14"/>
      <c r="I2" s="14" t="s">
        <v>353</v>
      </c>
      <c r="J2" s="14" t="s">
        <v>354</v>
      </c>
    </row>
    <row r="3" spans="1:10" x14ac:dyDescent="0.25">
      <c r="A3" s="11">
        <v>2</v>
      </c>
      <c r="B3" s="12">
        <v>46318</v>
      </c>
      <c r="C3" s="11" t="s">
        <v>13</v>
      </c>
      <c r="D3" s="11">
        <v>3.5</v>
      </c>
      <c r="E3" s="15">
        <v>115</v>
      </c>
      <c r="F3" s="13">
        <v>1.0597650000000001</v>
      </c>
      <c r="G3" s="14" t="s">
        <v>117</v>
      </c>
      <c r="H3" s="14"/>
      <c r="I3" s="14" t="s">
        <v>355</v>
      </c>
      <c r="J3" s="14" t="s">
        <v>356</v>
      </c>
    </row>
    <row r="4" spans="1:10" x14ac:dyDescent="0.25">
      <c r="A4" s="11">
        <v>3</v>
      </c>
      <c r="B4" s="12">
        <v>46318</v>
      </c>
      <c r="C4" s="11" t="s">
        <v>13</v>
      </c>
      <c r="D4" s="11">
        <v>4.5</v>
      </c>
      <c r="E4" s="15">
        <v>123</v>
      </c>
      <c r="F4" s="13">
        <v>1.9974149999999999</v>
      </c>
      <c r="G4" s="14" t="s">
        <v>117</v>
      </c>
      <c r="H4" s="14"/>
      <c r="I4" s="14" t="s">
        <v>355</v>
      </c>
      <c r="J4" s="14"/>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
  <sheetViews>
    <sheetView showGridLines="0" zoomScale="70" zoomScaleNormal="70" workbookViewId="0">
      <selection activeCell="H12" sqref="H12"/>
    </sheetView>
  </sheetViews>
  <sheetFormatPr defaultRowHeight="15" x14ac:dyDescent="0.25"/>
  <cols>
    <col min="1" max="1" width="6.140625" customWidth="1"/>
    <col min="2" max="2" width="13.85546875" customWidth="1"/>
    <col min="3" max="3" width="14" customWidth="1"/>
    <col min="4" max="4" width="13" customWidth="1"/>
    <col min="5" max="5" width="9.42578125" customWidth="1"/>
    <col min="6" max="6" width="30" customWidth="1"/>
    <col min="7" max="7" width="18.140625" bestFit="1" customWidth="1"/>
    <col min="8" max="8" width="16" customWidth="1"/>
    <col min="9" max="9" width="19.140625" customWidth="1"/>
    <col min="10" max="10" width="15.85546875" customWidth="1"/>
    <col min="11" max="11" width="30" customWidth="1"/>
    <col min="12" max="12" width="14.85546875" hidden="1" customWidth="1"/>
    <col min="13" max="13" width="33.85546875" customWidth="1"/>
    <col min="14" max="14" width="26.7109375" customWidth="1"/>
    <col min="15" max="15" width="27.140625" customWidth="1"/>
    <col min="16" max="16" width="42.42578125" customWidth="1"/>
  </cols>
  <sheetData>
    <row r="1" spans="1:16" x14ac:dyDescent="0.25">
      <c r="A1" s="9" t="s">
        <v>74</v>
      </c>
      <c r="B1" s="9" t="s">
        <v>357</v>
      </c>
      <c r="C1" s="9" t="s">
        <v>358</v>
      </c>
      <c r="D1" s="9" t="s">
        <v>359</v>
      </c>
      <c r="E1" s="9" t="s">
        <v>360</v>
      </c>
      <c r="F1" s="9" t="s">
        <v>78</v>
      </c>
      <c r="G1" s="9" t="s">
        <v>33</v>
      </c>
      <c r="H1" s="9" t="s">
        <v>361</v>
      </c>
      <c r="I1" s="9" t="s">
        <v>362</v>
      </c>
      <c r="J1" s="9" t="s">
        <v>363</v>
      </c>
      <c r="K1" s="9" t="s">
        <v>364</v>
      </c>
      <c r="L1" s="9" t="s">
        <v>365</v>
      </c>
      <c r="M1" s="9" t="s">
        <v>366</v>
      </c>
      <c r="N1" s="9" t="s">
        <v>367</v>
      </c>
      <c r="O1" s="9" t="s">
        <v>368</v>
      </c>
      <c r="P1" s="10" t="s">
        <v>369</v>
      </c>
    </row>
    <row r="2" spans="1:16" x14ac:dyDescent="0.25">
      <c r="A2" s="214"/>
      <c r="B2" s="215"/>
      <c r="C2" s="216"/>
      <c r="D2" s="214"/>
      <c r="E2" s="214"/>
      <c r="F2" s="216"/>
      <c r="G2" s="217"/>
      <c r="H2" s="218"/>
      <c r="I2" s="218"/>
      <c r="J2" s="214"/>
      <c r="K2" s="216"/>
      <c r="L2" s="216"/>
      <c r="M2" s="219"/>
      <c r="N2" s="219"/>
      <c r="O2" s="219"/>
      <c r="P2" s="21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452"/>
  <sheetViews>
    <sheetView showGridLines="0" zoomScale="70" zoomScaleNormal="70" workbookViewId="0">
      <pane ySplit="13" topLeftCell="A372" activePane="bottomLeft" state="frozen"/>
      <selection pane="bottomLeft" activeCell="I380" sqref="I380"/>
    </sheetView>
  </sheetViews>
  <sheetFormatPr defaultColWidth="8.7109375" defaultRowHeight="15" x14ac:dyDescent="0.25"/>
  <cols>
    <col min="1" max="1" width="7.5703125" customWidth="1"/>
    <col min="2" max="2" width="13.28515625" customWidth="1"/>
    <col min="3" max="3" width="14.28515625" customWidth="1"/>
    <col min="4" max="4" width="7.7109375" bestFit="1" customWidth="1"/>
    <col min="5" max="5" width="9" bestFit="1" customWidth="1"/>
    <col min="6" max="6" width="12.28515625" bestFit="1" customWidth="1"/>
    <col min="7" max="7" width="22.28515625" customWidth="1"/>
    <col min="8" max="8" width="14.28515625" bestFit="1" customWidth="1"/>
    <col min="9" max="9" width="41.42578125" bestFit="1" customWidth="1"/>
    <col min="10" max="10" width="10.5703125" bestFit="1" customWidth="1"/>
    <col min="11" max="11" width="43.85546875" customWidth="1"/>
    <col min="12" max="12" width="12" customWidth="1"/>
    <col min="13" max="13" width="14.5703125" bestFit="1" customWidth="1"/>
    <col min="14" max="14" width="7.42578125" customWidth="1"/>
    <col min="15" max="15" width="11.7109375" bestFit="1" customWidth="1"/>
    <col min="16" max="16" width="13.140625" bestFit="1" customWidth="1"/>
  </cols>
  <sheetData>
    <row r="1" spans="1:16" ht="17.25" customHeight="1" x14ac:dyDescent="0.3">
      <c r="A1" s="20" t="s">
        <v>370</v>
      </c>
      <c r="B1" s="19"/>
      <c r="C1" s="19"/>
      <c r="D1" s="19"/>
      <c r="E1" s="19"/>
      <c r="F1" s="19"/>
      <c r="G1" s="19"/>
      <c r="H1" s="19"/>
      <c r="I1" s="19"/>
      <c r="J1" s="19"/>
      <c r="K1" s="19"/>
      <c r="L1" s="19"/>
      <c r="M1" s="7"/>
    </row>
    <row r="2" spans="1:16" ht="15" customHeight="1" x14ac:dyDescent="0.3">
      <c r="A2" s="8"/>
      <c r="B2" s="19"/>
      <c r="C2" s="19"/>
      <c r="D2" s="19"/>
      <c r="E2" s="19"/>
      <c r="F2" s="19"/>
      <c r="G2" s="19"/>
      <c r="H2" s="19"/>
      <c r="I2" s="19"/>
      <c r="J2" s="19"/>
      <c r="K2" s="19"/>
      <c r="L2" s="19"/>
      <c r="M2" s="7"/>
    </row>
    <row r="3" spans="1:16" ht="6" customHeight="1" x14ac:dyDescent="0.3">
      <c r="A3" s="19"/>
      <c r="B3" s="19"/>
      <c r="C3" s="19"/>
      <c r="D3" s="19"/>
      <c r="E3" s="19"/>
      <c r="F3" s="19"/>
      <c r="G3" s="19"/>
      <c r="H3" s="19"/>
      <c r="I3" s="19"/>
      <c r="J3" s="19"/>
      <c r="K3" s="19"/>
      <c r="L3" s="19"/>
      <c r="M3" s="7"/>
    </row>
    <row r="4" spans="1:16" ht="15" customHeight="1" x14ac:dyDescent="0.3">
      <c r="A4" s="319" t="s">
        <v>29</v>
      </c>
      <c r="B4" s="320"/>
      <c r="C4" s="320"/>
      <c r="D4" s="37" t="s">
        <v>13</v>
      </c>
      <c r="E4" s="37" t="s">
        <v>15</v>
      </c>
      <c r="F4" s="37" t="s">
        <v>17</v>
      </c>
      <c r="G4" s="37" t="s">
        <v>30</v>
      </c>
      <c r="H4" s="19"/>
      <c r="I4" s="19"/>
      <c r="J4" s="19"/>
      <c r="K4" s="19"/>
      <c r="L4" s="19"/>
      <c r="M4" s="7"/>
    </row>
    <row r="5" spans="1:16" ht="15" customHeight="1" x14ac:dyDescent="0.3">
      <c r="A5" s="317" t="s">
        <v>371</v>
      </c>
      <c r="B5" s="318"/>
      <c r="C5" s="318"/>
      <c r="D5" s="38">
        <f>SUMMARY!C17</f>
        <v>148.16233599999998</v>
      </c>
      <c r="E5" s="38">
        <f>SUMMARY!D17</f>
        <v>78.193030681818172</v>
      </c>
      <c r="F5" s="38">
        <f>SUMMARY!E17</f>
        <v>0.9839</v>
      </c>
      <c r="G5" s="41">
        <f>D5+E5+F5</f>
        <v>227.33926668181817</v>
      </c>
      <c r="H5" s="19"/>
      <c r="I5" s="19"/>
      <c r="J5" s="19"/>
      <c r="K5" s="19"/>
      <c r="L5" s="19"/>
      <c r="M5" s="7"/>
    </row>
    <row r="6" spans="1:16" ht="15" customHeight="1" x14ac:dyDescent="0.3">
      <c r="A6" s="317" t="s">
        <v>372</v>
      </c>
      <c r="B6" s="318"/>
      <c r="C6" s="318"/>
      <c r="D6" s="38">
        <f>SUMMARY!C22</f>
        <v>16.12396</v>
      </c>
      <c r="E6" s="38">
        <f>SUMMARY!D22</f>
        <v>9.9301209999999998</v>
      </c>
      <c r="F6" s="38">
        <f>SUMMARY!E22</f>
        <v>0.12217999999999959</v>
      </c>
      <c r="G6" s="41">
        <f>D6+E6+F6</f>
        <v>26.176261</v>
      </c>
      <c r="H6" s="19"/>
      <c r="I6" s="19"/>
      <c r="J6" s="19"/>
      <c r="K6" s="19"/>
      <c r="L6" s="19"/>
      <c r="M6" s="7"/>
    </row>
    <row r="7" spans="1:16" ht="15" customHeight="1" x14ac:dyDescent="0.3">
      <c r="A7" s="317" t="s">
        <v>373</v>
      </c>
      <c r="B7" s="318"/>
      <c r="C7" s="318"/>
      <c r="D7" s="38">
        <f>D5-D6</f>
        <v>132.03837599999997</v>
      </c>
      <c r="E7" s="38">
        <f>E5-E6</f>
        <v>68.262909681818172</v>
      </c>
      <c r="F7" s="38">
        <f>F5-F6</f>
        <v>0.86172000000000037</v>
      </c>
      <c r="G7" s="41">
        <f>D7+E7+F7</f>
        <v>201.16300568181813</v>
      </c>
      <c r="H7" s="19"/>
      <c r="I7" s="19"/>
      <c r="J7" s="19"/>
      <c r="K7" s="19"/>
      <c r="L7" s="19"/>
      <c r="M7" s="7"/>
    </row>
    <row r="8" spans="1:16" ht="15" customHeight="1" x14ac:dyDescent="0.3">
      <c r="A8" s="317" t="s">
        <v>374</v>
      </c>
      <c r="B8" s="318"/>
      <c r="C8" s="318"/>
      <c r="D8" s="38">
        <f>SUMIFS($F$14:$F$5086,$C$14:$C$5086,"Teak",$L$14:$L$5086,"&lt;&gt;Adjustment")</f>
        <v>119.33777049999998</v>
      </c>
      <c r="E8" s="38">
        <f>SUMIFS($F$14:$F$5086,$C$14:$C$5086,"Sungkai",$L$14:$L$5086,"&lt;&gt;Adjustment")</f>
        <v>52.156448000000005</v>
      </c>
      <c r="F8" s="38">
        <f>SUMIFS($F$14:$F$5086,$C$14:$C$5086,"Pine",$L$14:$L$5086,"&lt;&gt;Adjustment")</f>
        <v>0.86174499999999998</v>
      </c>
      <c r="G8" s="41">
        <f>D8+E8+F8</f>
        <v>172.3559635</v>
      </c>
      <c r="H8" s="19"/>
      <c r="I8" s="19"/>
      <c r="J8" s="19"/>
      <c r="K8" s="19"/>
      <c r="L8" s="19"/>
      <c r="M8" s="7"/>
    </row>
    <row r="9" spans="1:16" ht="15" customHeight="1" x14ac:dyDescent="0.3">
      <c r="A9" s="321" t="s">
        <v>375</v>
      </c>
      <c r="B9" s="318"/>
      <c r="C9" s="318"/>
      <c r="D9" s="40">
        <f>D7-D8</f>
        <v>12.700605499999995</v>
      </c>
      <c r="E9" s="40">
        <f>E7-E8</f>
        <v>16.106461681818168</v>
      </c>
      <c r="F9" s="40">
        <f>F7-F8</f>
        <v>-2.4999999999608669E-5</v>
      </c>
      <c r="G9" s="40">
        <f>D9+E9+F9</f>
        <v>28.807042181818161</v>
      </c>
      <c r="H9" s="19"/>
      <c r="I9" s="19"/>
      <c r="J9" s="19"/>
      <c r="K9" s="19"/>
      <c r="L9" s="19"/>
      <c r="M9" s="7"/>
    </row>
    <row r="10" spans="1:16" ht="15" customHeight="1" x14ac:dyDescent="0.3">
      <c r="A10" s="317" t="s">
        <v>376</v>
      </c>
      <c r="B10" s="318"/>
      <c r="C10" s="318"/>
      <c r="D10" s="39">
        <f>IF(D7=0,0,D8/D7)</f>
        <v>0.90381125635777282</v>
      </c>
      <c r="E10" s="39">
        <f>IF(E7=0,0,E8/E7)</f>
        <v>0.7640525175839652</v>
      </c>
      <c r="F10" s="39">
        <f>IF(F7=0,0,F8/F7)</f>
        <v>1.0000290117439534</v>
      </c>
      <c r="G10" s="42">
        <f>IF(G7=0,0,G8/G7)</f>
        <v>0.85679751560591333</v>
      </c>
      <c r="H10" s="19"/>
      <c r="I10" s="19"/>
      <c r="J10" s="19"/>
      <c r="K10" s="19"/>
      <c r="L10" s="19"/>
      <c r="M10" s="7"/>
    </row>
    <row r="11" spans="1:16" ht="6" customHeight="1" x14ac:dyDescent="0.3">
      <c r="A11" s="19"/>
      <c r="B11" s="19"/>
      <c r="C11" s="19"/>
      <c r="D11" s="19"/>
      <c r="E11" s="19"/>
      <c r="F11" s="19"/>
      <c r="G11" s="19"/>
      <c r="H11" s="19"/>
      <c r="I11" s="19"/>
      <c r="J11" s="19"/>
      <c r="K11" s="19"/>
      <c r="L11" s="19"/>
      <c r="M11" s="7"/>
    </row>
    <row r="12" spans="1:16" ht="6" customHeight="1" x14ac:dyDescent="0.3">
      <c r="A12" s="19"/>
      <c r="B12" s="19"/>
      <c r="C12" s="19"/>
      <c r="D12" s="19"/>
      <c r="E12" s="19"/>
      <c r="F12" s="19"/>
      <c r="G12" s="19"/>
      <c r="H12" s="19"/>
      <c r="I12" s="19"/>
      <c r="J12" s="19"/>
      <c r="K12" s="19"/>
      <c r="L12" s="19"/>
      <c r="M12" s="7"/>
    </row>
    <row r="13" spans="1:16" ht="30" customHeight="1" x14ac:dyDescent="0.25">
      <c r="A13" s="21" t="s">
        <v>74</v>
      </c>
      <c r="B13" s="21" t="s">
        <v>351</v>
      </c>
      <c r="C13" s="21" t="s">
        <v>55</v>
      </c>
      <c r="D13" s="21" t="s">
        <v>53</v>
      </c>
      <c r="E13" s="21" t="s">
        <v>352</v>
      </c>
      <c r="F13" s="21" t="s">
        <v>33</v>
      </c>
      <c r="G13" s="22" t="s">
        <v>377</v>
      </c>
      <c r="H13" s="21" t="s">
        <v>378</v>
      </c>
      <c r="I13" s="22" t="s">
        <v>379</v>
      </c>
      <c r="J13" s="21" t="s">
        <v>380</v>
      </c>
      <c r="K13" s="22" t="s">
        <v>82</v>
      </c>
      <c r="L13" s="22" t="s">
        <v>62</v>
      </c>
      <c r="M13" s="64" t="s">
        <v>381</v>
      </c>
      <c r="N13" s="64" t="s">
        <v>382</v>
      </c>
      <c r="O13" s="64" t="s">
        <v>383</v>
      </c>
      <c r="P13" s="64" t="s">
        <v>384</v>
      </c>
    </row>
    <row r="14" spans="1:16" ht="15.95" customHeight="1" x14ac:dyDescent="0.25">
      <c r="A14" s="23">
        <v>1</v>
      </c>
      <c r="B14" s="29">
        <v>46041</v>
      </c>
      <c r="C14" s="31" t="s">
        <v>13</v>
      </c>
      <c r="D14" s="33"/>
      <c r="E14" s="35"/>
      <c r="F14" s="24">
        <v>0.28086</v>
      </c>
      <c r="G14" s="25" t="s">
        <v>385</v>
      </c>
      <c r="H14" s="23" t="str">
        <f>IFERROR(INDEX(REALDATA!$C$2:$C$1048576,MATCH(G14,REALDATA!$B$2:$B$1048576,0)),"131/CR")</f>
        <v>131/CR</v>
      </c>
      <c r="I14" s="25" t="s">
        <v>386</v>
      </c>
      <c r="J14" s="23" t="s">
        <v>387</v>
      </c>
      <c r="K14" s="25" t="s">
        <v>388</v>
      </c>
      <c r="L14" s="25"/>
      <c r="M14" s="62"/>
      <c r="N14" s="23"/>
      <c r="O14" s="24" t="str">
        <f t="shared" ref="O14:O77" si="0">IF(AND(L14="Adjustment",N14="",P14&lt;&gt;"Explained"),F14+SUMIFS($F$14:$F$5084,$N$14:$N$5084,A14,$L$14:$L$5084,"Adjustment"),"")</f>
        <v/>
      </c>
      <c r="P14" s="23"/>
    </row>
    <row r="15" spans="1:16" ht="15.95" customHeight="1" x14ac:dyDescent="0.25">
      <c r="A15" s="26">
        <v>2</v>
      </c>
      <c r="B15" s="30">
        <v>46041</v>
      </c>
      <c r="C15" s="32" t="s">
        <v>13</v>
      </c>
      <c r="D15" s="34"/>
      <c r="E15" s="36"/>
      <c r="F15" s="27">
        <v>0.46810000000000002</v>
      </c>
      <c r="G15" s="28" t="s">
        <v>389</v>
      </c>
      <c r="H15" s="26" t="str">
        <f>IFERROR(INDEX(REALDATA!$C$2:$C$1048576,MATCH(G15,REALDATA!$B$2:$B$1048576,0)),"125/FJ")</f>
        <v>125/FJ</v>
      </c>
      <c r="I15" s="28" t="s">
        <v>386</v>
      </c>
      <c r="J15" s="26" t="s">
        <v>387</v>
      </c>
      <c r="K15" s="28" t="s">
        <v>390</v>
      </c>
      <c r="L15" s="28"/>
      <c r="M15" s="28"/>
      <c r="N15" s="26"/>
      <c r="O15" s="27" t="str">
        <f t="shared" si="0"/>
        <v/>
      </c>
      <c r="P15" s="26"/>
    </row>
    <row r="16" spans="1:16" ht="15.95" customHeight="1" x14ac:dyDescent="0.25">
      <c r="A16" s="26">
        <v>3</v>
      </c>
      <c r="B16" s="30">
        <v>46041</v>
      </c>
      <c r="C16" s="32" t="s">
        <v>13</v>
      </c>
      <c r="D16" s="34"/>
      <c r="E16" s="36"/>
      <c r="F16" s="27">
        <v>0.41909000000000002</v>
      </c>
      <c r="G16" s="28" t="s">
        <v>391</v>
      </c>
      <c r="H16" s="26" t="str">
        <f>IFERROR(INDEX(REALDATA!$C$2:$C$1048576,MATCH(G16,REALDATA!$B$2:$B$1048576,0)),"079/IL")</f>
        <v>079/IL</v>
      </c>
      <c r="I16" s="28" t="s">
        <v>392</v>
      </c>
      <c r="J16" s="26" t="s">
        <v>387</v>
      </c>
      <c r="K16" s="28" t="s">
        <v>393</v>
      </c>
      <c r="L16" s="28"/>
      <c r="M16" s="28"/>
      <c r="N16" s="26"/>
      <c r="O16" s="27" t="str">
        <f t="shared" si="0"/>
        <v/>
      </c>
      <c r="P16" s="26"/>
    </row>
    <row r="17" spans="1:16" ht="15.95" customHeight="1" x14ac:dyDescent="0.25">
      <c r="A17" s="26">
        <v>4</v>
      </c>
      <c r="B17" s="30">
        <v>46041</v>
      </c>
      <c r="C17" s="32" t="s">
        <v>13</v>
      </c>
      <c r="D17" s="34"/>
      <c r="E17" s="36"/>
      <c r="F17" s="27">
        <v>0.11433</v>
      </c>
      <c r="G17" s="28" t="s">
        <v>385</v>
      </c>
      <c r="H17" s="26" t="str">
        <f>IFERROR(INDEX(REALDATA!$C$2:$C$1048576,MATCH(G17,REALDATA!$B$2:$B$1048576,0)),"131/CR")</f>
        <v>131/CR</v>
      </c>
      <c r="I17" s="28" t="s">
        <v>394</v>
      </c>
      <c r="J17" s="26" t="s">
        <v>387</v>
      </c>
      <c r="K17" s="28" t="s">
        <v>395</v>
      </c>
      <c r="L17" s="28"/>
      <c r="M17" s="28"/>
      <c r="N17" s="26"/>
      <c r="O17" s="27" t="str">
        <f t="shared" si="0"/>
        <v/>
      </c>
      <c r="P17" s="26"/>
    </row>
    <row r="18" spans="1:16" ht="15.95" customHeight="1" x14ac:dyDescent="0.25">
      <c r="A18" s="26">
        <v>5</v>
      </c>
      <c r="B18" s="30">
        <v>46041</v>
      </c>
      <c r="C18" s="32" t="s">
        <v>13</v>
      </c>
      <c r="D18" s="34"/>
      <c r="E18" s="36"/>
      <c r="F18" s="27">
        <v>0.19055</v>
      </c>
      <c r="G18" s="28" t="s">
        <v>391</v>
      </c>
      <c r="H18" s="26" t="str">
        <f>IFERROR(INDEX(REALDATA!$C$2:$C$1048576,MATCH(G18,REALDATA!$B$2:$B$1048576,0)),"079/IL")</f>
        <v>079/IL</v>
      </c>
      <c r="I18" s="28" t="s">
        <v>394</v>
      </c>
      <c r="J18" s="26" t="s">
        <v>387</v>
      </c>
      <c r="K18" s="28" t="s">
        <v>396</v>
      </c>
      <c r="L18" s="28"/>
      <c r="M18" s="28"/>
      <c r="N18" s="26"/>
      <c r="O18" s="27" t="str">
        <f t="shared" si="0"/>
        <v/>
      </c>
      <c r="P18" s="26"/>
    </row>
    <row r="19" spans="1:16" ht="15.95" customHeight="1" x14ac:dyDescent="0.25">
      <c r="A19" s="26">
        <v>6</v>
      </c>
      <c r="B19" s="30">
        <v>46041</v>
      </c>
      <c r="C19" s="32" t="s">
        <v>13</v>
      </c>
      <c r="D19" s="34"/>
      <c r="E19" s="36"/>
      <c r="F19" s="27">
        <v>0.13683999999999999</v>
      </c>
      <c r="G19" s="28" t="s">
        <v>391</v>
      </c>
      <c r="H19" s="26" t="str">
        <f>IFERROR(INDEX(REALDATA!$C$2:$C$1048576,MATCH(G19,REALDATA!$B$2:$B$1048576,0)),"079/IL")</f>
        <v>079/IL</v>
      </c>
      <c r="I19" s="28" t="s">
        <v>397</v>
      </c>
      <c r="J19" s="26" t="s">
        <v>387</v>
      </c>
      <c r="K19" s="28" t="s">
        <v>398</v>
      </c>
      <c r="L19" s="28"/>
      <c r="M19" s="28"/>
      <c r="N19" s="26"/>
      <c r="O19" s="27" t="str">
        <f t="shared" si="0"/>
        <v/>
      </c>
      <c r="P19" s="26"/>
    </row>
    <row r="20" spans="1:16" ht="15.95" customHeight="1" x14ac:dyDescent="0.25">
      <c r="A20" s="26">
        <v>7</v>
      </c>
      <c r="B20" s="30">
        <v>46042</v>
      </c>
      <c r="C20" s="32" t="s">
        <v>13</v>
      </c>
      <c r="D20" s="34"/>
      <c r="E20" s="36"/>
      <c r="F20" s="27">
        <v>0.10150000000000001</v>
      </c>
      <c r="G20" s="28" t="s">
        <v>391</v>
      </c>
      <c r="H20" s="26" t="str">
        <f>IFERROR(INDEX(REALDATA!$C$2:$C$1048576,MATCH(G20,REALDATA!$B$2:$B$1048576,0)),"079/IL")</f>
        <v>079/IL</v>
      </c>
      <c r="I20" s="28" t="s">
        <v>399</v>
      </c>
      <c r="J20" s="26" t="s">
        <v>387</v>
      </c>
      <c r="K20" s="28" t="s">
        <v>400</v>
      </c>
      <c r="L20" s="28"/>
      <c r="M20" s="28"/>
      <c r="N20" s="26"/>
      <c r="O20" s="27" t="str">
        <f t="shared" si="0"/>
        <v/>
      </c>
      <c r="P20" s="26"/>
    </row>
    <row r="21" spans="1:16" ht="15.95" customHeight="1" x14ac:dyDescent="0.25">
      <c r="A21" s="26">
        <v>8</v>
      </c>
      <c r="B21" s="30">
        <v>46050</v>
      </c>
      <c r="C21" s="32" t="s">
        <v>13</v>
      </c>
      <c r="D21" s="34"/>
      <c r="E21" s="36"/>
      <c r="F21" s="27">
        <v>0.14030999999999999</v>
      </c>
      <c r="G21" s="28" t="s">
        <v>385</v>
      </c>
      <c r="H21" s="26" t="str">
        <f>IFERROR(INDEX(REALDATA!$C$2:$C$1048576,MATCH(G21,REALDATA!$B$2:$B$1048576,0)),"131/CR")</f>
        <v>131/CR</v>
      </c>
      <c r="I21" s="28" t="s">
        <v>401</v>
      </c>
      <c r="J21" s="26" t="s">
        <v>387</v>
      </c>
      <c r="K21" s="28" t="s">
        <v>402</v>
      </c>
      <c r="L21" s="28"/>
      <c r="M21" s="28"/>
      <c r="N21" s="26"/>
      <c r="O21" s="27" t="str">
        <f t="shared" si="0"/>
        <v/>
      </c>
      <c r="P21" s="26"/>
    </row>
    <row r="22" spans="1:16" ht="15.95" customHeight="1" x14ac:dyDescent="0.25">
      <c r="A22" s="26">
        <v>9</v>
      </c>
      <c r="B22" s="30">
        <v>46050</v>
      </c>
      <c r="C22" s="32" t="s">
        <v>13</v>
      </c>
      <c r="D22" s="34"/>
      <c r="E22" s="36"/>
      <c r="F22" s="27">
        <v>0.161308125</v>
      </c>
      <c r="G22" s="28" t="s">
        <v>385</v>
      </c>
      <c r="H22" s="26" t="str">
        <f>IFERROR(INDEX(REALDATA!$C$2:$C$1048576,MATCH(G22,REALDATA!$B$2:$B$1048576,0)),"131/CR")</f>
        <v>131/CR</v>
      </c>
      <c r="I22" s="28" t="s">
        <v>403</v>
      </c>
      <c r="J22" s="26" t="s">
        <v>387</v>
      </c>
      <c r="K22" s="28" t="s">
        <v>404</v>
      </c>
      <c r="L22" s="28"/>
      <c r="M22" s="28"/>
      <c r="N22" s="26"/>
      <c r="O22" s="27" t="str">
        <f t="shared" si="0"/>
        <v/>
      </c>
      <c r="P22" s="26"/>
    </row>
    <row r="23" spans="1:16" ht="15.95" customHeight="1" x14ac:dyDescent="0.25">
      <c r="A23" s="26">
        <v>10</v>
      </c>
      <c r="B23" s="30">
        <v>46050</v>
      </c>
      <c r="C23" s="32" t="s">
        <v>13</v>
      </c>
      <c r="D23" s="34"/>
      <c r="E23" s="36"/>
      <c r="F23" s="27">
        <v>0.26884687499999999</v>
      </c>
      <c r="G23" s="28" t="s">
        <v>389</v>
      </c>
      <c r="H23" s="26" t="str">
        <f>IFERROR(INDEX(REALDATA!$C$2:$C$1048576,MATCH(G23,REALDATA!$B$2:$B$1048576,0)),"125/FJ")</f>
        <v>125/FJ</v>
      </c>
      <c r="I23" s="28" t="s">
        <v>403</v>
      </c>
      <c r="J23" s="26" t="s">
        <v>387</v>
      </c>
      <c r="K23" s="28" t="s">
        <v>405</v>
      </c>
      <c r="L23" s="28"/>
      <c r="M23" s="28"/>
      <c r="N23" s="26"/>
      <c r="O23" s="27" t="str">
        <f t="shared" si="0"/>
        <v/>
      </c>
      <c r="P23" s="26"/>
    </row>
    <row r="24" spans="1:16" ht="15.95" customHeight="1" x14ac:dyDescent="0.25">
      <c r="A24" s="26">
        <v>11</v>
      </c>
      <c r="B24" s="30">
        <v>46050</v>
      </c>
      <c r="C24" s="32" t="s">
        <v>13</v>
      </c>
      <c r="D24" s="34"/>
      <c r="E24" s="36"/>
      <c r="F24" s="27">
        <v>0.58186000000000004</v>
      </c>
      <c r="G24" s="28" t="s">
        <v>389</v>
      </c>
      <c r="H24" s="26" t="str">
        <f>IFERROR(INDEX(REALDATA!$C$2:$C$1048576,MATCH(G24,REALDATA!$B$2:$B$1048576,0)),"125/FJ")</f>
        <v>125/FJ</v>
      </c>
      <c r="I24" s="28" t="s">
        <v>406</v>
      </c>
      <c r="J24" s="26" t="s">
        <v>387</v>
      </c>
      <c r="K24" s="28" t="s">
        <v>407</v>
      </c>
      <c r="L24" s="28"/>
      <c r="M24" s="28"/>
      <c r="N24" s="26"/>
      <c r="O24" s="27" t="str">
        <f t="shared" si="0"/>
        <v/>
      </c>
      <c r="P24" s="26"/>
    </row>
    <row r="25" spans="1:16" ht="15.95" customHeight="1" x14ac:dyDescent="0.25">
      <c r="A25" s="26">
        <v>12</v>
      </c>
      <c r="B25" s="30">
        <v>46056</v>
      </c>
      <c r="C25" s="32" t="s">
        <v>13</v>
      </c>
      <c r="D25" s="34"/>
      <c r="E25" s="36"/>
      <c r="F25" s="27">
        <v>0.24446999999999999</v>
      </c>
      <c r="G25" s="28" t="s">
        <v>389</v>
      </c>
      <c r="H25" s="26" t="str">
        <f>IFERROR(INDEX(REALDATA!$C$2:$C$1048576,MATCH(G25,REALDATA!$B$2:$B$1048576,0)),"125/FJ")</f>
        <v>125/FJ</v>
      </c>
      <c r="I25" s="28" t="s">
        <v>406</v>
      </c>
      <c r="J25" s="26" t="s">
        <v>387</v>
      </c>
      <c r="K25" s="28" t="s">
        <v>408</v>
      </c>
      <c r="L25" s="28"/>
      <c r="M25" s="28"/>
      <c r="N25" s="26"/>
      <c r="O25" s="27" t="str">
        <f t="shared" si="0"/>
        <v/>
      </c>
      <c r="P25" s="26"/>
    </row>
    <row r="26" spans="1:16" ht="15.95" customHeight="1" x14ac:dyDescent="0.25">
      <c r="A26" s="26">
        <v>13</v>
      </c>
      <c r="B26" s="30">
        <v>46056</v>
      </c>
      <c r="C26" s="32" t="s">
        <v>13</v>
      </c>
      <c r="D26" s="34"/>
      <c r="E26" s="36"/>
      <c r="F26" s="27">
        <v>0.36027500000000001</v>
      </c>
      <c r="G26" s="28" t="s">
        <v>389</v>
      </c>
      <c r="H26" s="26" t="str">
        <f>IFERROR(INDEX(REALDATA!$C$2:$C$1048576,MATCH(G26,REALDATA!$B$2:$B$1048576,0)),"125/FJ")</f>
        <v>125/FJ</v>
      </c>
      <c r="I26" s="28" t="s">
        <v>409</v>
      </c>
      <c r="J26" s="26" t="s">
        <v>387</v>
      </c>
      <c r="K26" s="28" t="s">
        <v>410</v>
      </c>
      <c r="L26" s="28"/>
      <c r="M26" s="28"/>
      <c r="N26" s="26"/>
      <c r="O26" s="27" t="str">
        <f t="shared" si="0"/>
        <v/>
      </c>
      <c r="P26" s="26"/>
    </row>
    <row r="27" spans="1:16" ht="15.95" customHeight="1" x14ac:dyDescent="0.25">
      <c r="A27" s="26">
        <v>14</v>
      </c>
      <c r="B27" s="30">
        <v>46056</v>
      </c>
      <c r="C27" s="32" t="s">
        <v>13</v>
      </c>
      <c r="D27" s="34"/>
      <c r="E27" s="36"/>
      <c r="F27" s="27">
        <v>0.29598999999999998</v>
      </c>
      <c r="G27" s="28" t="s">
        <v>411</v>
      </c>
      <c r="H27" s="26" t="s">
        <v>411</v>
      </c>
      <c r="I27" s="28" t="s">
        <v>411</v>
      </c>
      <c r="J27" s="26" t="s">
        <v>411</v>
      </c>
      <c r="K27" s="28" t="s">
        <v>412</v>
      </c>
      <c r="L27" s="28"/>
      <c r="M27" s="28"/>
      <c r="N27" s="26"/>
      <c r="O27" s="27" t="str">
        <f t="shared" si="0"/>
        <v/>
      </c>
      <c r="P27" s="26"/>
    </row>
    <row r="28" spans="1:16" ht="15.95" customHeight="1" x14ac:dyDescent="0.25">
      <c r="A28" s="26">
        <v>15</v>
      </c>
      <c r="B28" s="30">
        <v>46058</v>
      </c>
      <c r="C28" s="32" t="s">
        <v>13</v>
      </c>
      <c r="D28" s="34"/>
      <c r="E28" s="36"/>
      <c r="F28" s="27">
        <v>0.107641875</v>
      </c>
      <c r="G28" s="28" t="s">
        <v>385</v>
      </c>
      <c r="H28" s="26" t="str">
        <f>IFERROR(INDEX(REALDATA!$C$2:$C$1048576,MATCH(G28,REALDATA!$B$2:$B$1048576,0)),"131/CR")</f>
        <v>131/CR</v>
      </c>
      <c r="I28" s="28" t="s">
        <v>386</v>
      </c>
      <c r="J28" s="26" t="s">
        <v>387</v>
      </c>
      <c r="K28" s="28" t="s">
        <v>413</v>
      </c>
      <c r="L28" s="28"/>
      <c r="M28" s="28"/>
      <c r="N28" s="26"/>
      <c r="O28" s="27" t="str">
        <f t="shared" si="0"/>
        <v/>
      </c>
      <c r="P28" s="26"/>
    </row>
    <row r="29" spans="1:16" ht="15.95" customHeight="1" x14ac:dyDescent="0.25">
      <c r="A29" s="26">
        <v>16</v>
      </c>
      <c r="B29" s="30">
        <v>46058</v>
      </c>
      <c r="C29" s="32" t="s">
        <v>13</v>
      </c>
      <c r="D29" s="34"/>
      <c r="E29" s="36"/>
      <c r="F29" s="27">
        <v>0.179403125</v>
      </c>
      <c r="G29" s="28" t="s">
        <v>389</v>
      </c>
      <c r="H29" s="26" t="str">
        <f>IFERROR(INDEX(REALDATA!$C$2:$C$1048576,MATCH(G29,REALDATA!$B$2:$B$1048576,0)),"125/FJ")</f>
        <v>125/FJ</v>
      </c>
      <c r="I29" s="28" t="s">
        <v>386</v>
      </c>
      <c r="J29" s="26" t="s">
        <v>387</v>
      </c>
      <c r="K29" s="28" t="s">
        <v>414</v>
      </c>
      <c r="L29" s="28"/>
      <c r="M29" s="28"/>
      <c r="N29" s="26"/>
      <c r="O29" s="27" t="str">
        <f t="shared" si="0"/>
        <v/>
      </c>
      <c r="P29" s="26"/>
    </row>
    <row r="30" spans="1:16" ht="15.95" customHeight="1" x14ac:dyDescent="0.25">
      <c r="A30" s="26">
        <v>17</v>
      </c>
      <c r="B30" s="30">
        <v>46058</v>
      </c>
      <c r="C30" s="32" t="s">
        <v>13</v>
      </c>
      <c r="D30" s="34"/>
      <c r="E30" s="36"/>
      <c r="F30" s="27">
        <v>4.6164999999999998E-2</v>
      </c>
      <c r="G30" s="28" t="s">
        <v>411</v>
      </c>
      <c r="H30" s="26" t="s">
        <v>411</v>
      </c>
      <c r="I30" s="28" t="s">
        <v>415</v>
      </c>
      <c r="J30" s="26" t="s">
        <v>411</v>
      </c>
      <c r="K30" s="28" t="s">
        <v>416</v>
      </c>
      <c r="L30" s="28"/>
      <c r="M30" s="28"/>
      <c r="N30" s="26"/>
      <c r="O30" s="27" t="str">
        <f t="shared" si="0"/>
        <v/>
      </c>
      <c r="P30" s="26"/>
    </row>
    <row r="31" spans="1:16" ht="15.95" customHeight="1" x14ac:dyDescent="0.25">
      <c r="A31" s="26">
        <v>18</v>
      </c>
      <c r="B31" s="30">
        <v>46063</v>
      </c>
      <c r="C31" s="32" t="s">
        <v>13</v>
      </c>
      <c r="D31" s="34"/>
      <c r="E31" s="36"/>
      <c r="F31" s="27">
        <v>0.38383</v>
      </c>
      <c r="G31" s="28" t="s">
        <v>385</v>
      </c>
      <c r="H31" s="26" t="str">
        <f>IFERROR(INDEX(REALDATA!$C$2:$C$1048576,MATCH(G31,REALDATA!$B$2:$B$1048576,0)),"131/CR")</f>
        <v>131/CR</v>
      </c>
      <c r="I31" s="28" t="s">
        <v>417</v>
      </c>
      <c r="J31" s="26" t="s">
        <v>387</v>
      </c>
      <c r="K31" s="28" t="s">
        <v>418</v>
      </c>
      <c r="L31" s="28"/>
      <c r="M31" s="28"/>
      <c r="N31" s="26"/>
      <c r="O31" s="27" t="str">
        <f t="shared" si="0"/>
        <v/>
      </c>
      <c r="P31" s="26"/>
    </row>
    <row r="32" spans="1:16" ht="15.95" customHeight="1" x14ac:dyDescent="0.25">
      <c r="A32" s="26">
        <v>19</v>
      </c>
      <c r="B32" s="30">
        <v>46063</v>
      </c>
      <c r="C32" s="32" t="s">
        <v>13</v>
      </c>
      <c r="D32" s="34"/>
      <c r="E32" s="36"/>
      <c r="F32" s="27">
        <v>2.5919999999999999E-2</v>
      </c>
      <c r="G32" s="28" t="s">
        <v>389</v>
      </c>
      <c r="H32" s="26" t="str">
        <f>IFERROR(INDEX(REALDATA!$C$2:$C$1048576,MATCH(G32,REALDATA!$B$2:$B$1048576,0)),"125/FJ")</f>
        <v>125/FJ</v>
      </c>
      <c r="I32" s="28" t="s">
        <v>406</v>
      </c>
      <c r="J32" s="26" t="s">
        <v>387</v>
      </c>
      <c r="K32" s="28" t="s">
        <v>419</v>
      </c>
      <c r="L32" s="28"/>
      <c r="M32" s="28"/>
      <c r="N32" s="26"/>
      <c r="O32" s="27" t="str">
        <f t="shared" si="0"/>
        <v/>
      </c>
      <c r="P32" s="26"/>
    </row>
    <row r="33" spans="1:16" ht="15.95" customHeight="1" x14ac:dyDescent="0.25">
      <c r="A33" s="26">
        <v>20</v>
      </c>
      <c r="B33" s="30">
        <v>46063</v>
      </c>
      <c r="C33" s="32" t="s">
        <v>13</v>
      </c>
      <c r="D33" s="34"/>
      <c r="E33" s="36"/>
      <c r="F33" s="27">
        <v>3.87225E-2</v>
      </c>
      <c r="G33" s="28" t="s">
        <v>385</v>
      </c>
      <c r="H33" s="26" t="str">
        <f>IFERROR(INDEX(REALDATA!$C$2:$C$1048576,MATCH(G33,REALDATA!$B$2:$B$1048576,0)),"131/CR")</f>
        <v>131/CR</v>
      </c>
      <c r="I33" s="28" t="s">
        <v>386</v>
      </c>
      <c r="J33" s="26" t="s">
        <v>387</v>
      </c>
      <c r="K33" s="28" t="s">
        <v>420</v>
      </c>
      <c r="L33" s="28"/>
      <c r="M33" s="28"/>
      <c r="N33" s="26"/>
      <c r="O33" s="27" t="str">
        <f t="shared" si="0"/>
        <v/>
      </c>
      <c r="P33" s="26"/>
    </row>
    <row r="34" spans="1:16" ht="15.95" customHeight="1" x14ac:dyDescent="0.25">
      <c r="A34" s="26">
        <v>21</v>
      </c>
      <c r="B34" s="30">
        <v>46063</v>
      </c>
      <c r="C34" s="32" t="s">
        <v>13</v>
      </c>
      <c r="D34" s="34"/>
      <c r="E34" s="36"/>
      <c r="F34" s="27">
        <v>6.4537499999999998E-2</v>
      </c>
      <c r="G34" s="28" t="s">
        <v>389</v>
      </c>
      <c r="H34" s="26" t="str">
        <f>IFERROR(INDEX(REALDATA!$C$2:$C$1048576,MATCH(G34,REALDATA!$B$2:$B$1048576,0)),"125/FJ")</f>
        <v>125/FJ</v>
      </c>
      <c r="I34" s="28" t="s">
        <v>386</v>
      </c>
      <c r="J34" s="26" t="s">
        <v>387</v>
      </c>
      <c r="K34" s="28" t="s">
        <v>421</v>
      </c>
      <c r="L34" s="28"/>
      <c r="M34" s="28"/>
      <c r="N34" s="26"/>
      <c r="O34" s="27" t="str">
        <f t="shared" si="0"/>
        <v/>
      </c>
      <c r="P34" s="26"/>
    </row>
    <row r="35" spans="1:16" ht="15.95" customHeight="1" x14ac:dyDescent="0.25">
      <c r="A35" s="26">
        <v>22</v>
      </c>
      <c r="B35" s="30">
        <v>46063</v>
      </c>
      <c r="C35" s="32" t="s">
        <v>13</v>
      </c>
      <c r="D35" s="34"/>
      <c r="E35" s="36"/>
      <c r="F35" s="27">
        <v>2.5680000000000001E-2</v>
      </c>
      <c r="G35" s="28" t="s">
        <v>389</v>
      </c>
      <c r="H35" s="26" t="str">
        <f>IFERROR(INDEX(REALDATA!$C$2:$C$1048576,MATCH(G35,REALDATA!$B$2:$B$1048576,0)),"125/FJ")</f>
        <v>125/FJ</v>
      </c>
      <c r="I35" s="28" t="s">
        <v>409</v>
      </c>
      <c r="J35" s="26" t="s">
        <v>387</v>
      </c>
      <c r="K35" s="28" t="s">
        <v>422</v>
      </c>
      <c r="L35" s="28"/>
      <c r="M35" s="28"/>
      <c r="N35" s="26"/>
      <c r="O35" s="27" t="str">
        <f t="shared" si="0"/>
        <v/>
      </c>
      <c r="P35" s="26"/>
    </row>
    <row r="36" spans="1:16" ht="15.95" customHeight="1" x14ac:dyDescent="0.25">
      <c r="A36" s="26">
        <v>23</v>
      </c>
      <c r="B36" s="30">
        <v>46067</v>
      </c>
      <c r="C36" s="32" t="s">
        <v>13</v>
      </c>
      <c r="D36" s="34"/>
      <c r="E36" s="36"/>
      <c r="F36" s="27">
        <v>0.38275999999999999</v>
      </c>
      <c r="G36" s="28" t="s">
        <v>389</v>
      </c>
      <c r="H36" s="26" t="str">
        <f>IFERROR(INDEX(REALDATA!$C$2:$C$1048576,MATCH(G36,REALDATA!$B$2:$B$1048576,0)),"125/FJ")</f>
        <v>125/FJ</v>
      </c>
      <c r="I36" s="28" t="s">
        <v>423</v>
      </c>
      <c r="J36" s="26" t="s">
        <v>387</v>
      </c>
      <c r="K36" s="28" t="s">
        <v>424</v>
      </c>
      <c r="L36" s="28"/>
      <c r="M36" s="28"/>
      <c r="N36" s="26"/>
      <c r="O36" s="27" t="str">
        <f t="shared" si="0"/>
        <v/>
      </c>
      <c r="P36" s="26"/>
    </row>
    <row r="37" spans="1:16" ht="15.95" customHeight="1" x14ac:dyDescent="0.25">
      <c r="A37" s="26">
        <v>24</v>
      </c>
      <c r="B37" s="30">
        <v>46067</v>
      </c>
      <c r="C37" s="32" t="s">
        <v>13</v>
      </c>
      <c r="D37" s="34"/>
      <c r="E37" s="36"/>
      <c r="F37" s="27">
        <v>0.23116</v>
      </c>
      <c r="G37" s="28" t="s">
        <v>391</v>
      </c>
      <c r="H37" s="26" t="str">
        <f>IFERROR(INDEX(REALDATA!$C$2:$C$1048576,MATCH(G37,REALDATA!$B$2:$B$1048576,0)),"079/IL")</f>
        <v>079/IL</v>
      </c>
      <c r="I37" s="28" t="s">
        <v>394</v>
      </c>
      <c r="J37" s="26" t="s">
        <v>387</v>
      </c>
      <c r="K37" s="28" t="s">
        <v>425</v>
      </c>
      <c r="L37" s="28"/>
      <c r="M37" s="28"/>
      <c r="N37" s="26"/>
      <c r="O37" s="27" t="str">
        <f t="shared" si="0"/>
        <v/>
      </c>
      <c r="P37" s="26"/>
    </row>
    <row r="38" spans="1:16" ht="15.95" customHeight="1" x14ac:dyDescent="0.25">
      <c r="A38" s="26">
        <v>25</v>
      </c>
      <c r="B38" s="30">
        <v>46070</v>
      </c>
      <c r="C38" s="32" t="s">
        <v>13</v>
      </c>
      <c r="D38" s="34"/>
      <c r="E38" s="36"/>
      <c r="F38" s="27">
        <v>0.10255499999999999</v>
      </c>
      <c r="G38" s="28" t="s">
        <v>411</v>
      </c>
      <c r="H38" s="26" t="s">
        <v>411</v>
      </c>
      <c r="I38" s="28" t="s">
        <v>411</v>
      </c>
      <c r="J38" s="26" t="s">
        <v>411</v>
      </c>
      <c r="K38" s="28" t="s">
        <v>426</v>
      </c>
      <c r="L38" s="28"/>
      <c r="M38" s="28"/>
      <c r="N38" s="26"/>
      <c r="O38" s="27" t="str">
        <f t="shared" si="0"/>
        <v/>
      </c>
      <c r="P38" s="26"/>
    </row>
    <row r="39" spans="1:16" ht="15.95" customHeight="1" x14ac:dyDescent="0.25">
      <c r="A39" s="26">
        <v>26</v>
      </c>
      <c r="B39" s="30">
        <v>46070</v>
      </c>
      <c r="C39" s="32" t="s">
        <v>13</v>
      </c>
      <c r="D39" s="34"/>
      <c r="E39" s="36"/>
      <c r="F39" s="27">
        <v>0.49475000000000002</v>
      </c>
      <c r="G39" s="28" t="s">
        <v>389</v>
      </c>
      <c r="H39" s="26" t="str">
        <f>IFERROR(INDEX(REALDATA!$C$2:$C$1048576,MATCH(G39,REALDATA!$B$2:$B$1048576,0)),"125/FJ")</f>
        <v>125/FJ</v>
      </c>
      <c r="I39" s="28" t="s">
        <v>423</v>
      </c>
      <c r="J39" s="26" t="s">
        <v>387</v>
      </c>
      <c r="K39" s="28" t="s">
        <v>427</v>
      </c>
      <c r="L39" s="28"/>
      <c r="M39" s="28"/>
      <c r="N39" s="26"/>
      <c r="O39" s="27" t="str">
        <f t="shared" si="0"/>
        <v/>
      </c>
      <c r="P39" s="26"/>
    </row>
    <row r="40" spans="1:16" ht="15.95" customHeight="1" x14ac:dyDescent="0.25">
      <c r="A40" s="26">
        <v>27</v>
      </c>
      <c r="B40" s="30">
        <v>46070</v>
      </c>
      <c r="C40" s="32" t="s">
        <v>13</v>
      </c>
      <c r="D40" s="34"/>
      <c r="E40" s="36"/>
      <c r="F40" s="27">
        <v>0.28581499999999999</v>
      </c>
      <c r="G40" s="28" t="s">
        <v>385</v>
      </c>
      <c r="H40" s="26" t="str">
        <f>IFERROR(INDEX(REALDATA!$C$2:$C$1048576,MATCH(G40,REALDATA!$B$2:$B$1048576,0)),"131/CR")</f>
        <v>131/CR</v>
      </c>
      <c r="I40" s="28" t="s">
        <v>428</v>
      </c>
      <c r="J40" s="26" t="s">
        <v>387</v>
      </c>
      <c r="K40" s="28" t="s">
        <v>429</v>
      </c>
      <c r="L40" s="28"/>
      <c r="M40" s="28"/>
      <c r="N40" s="26"/>
      <c r="O40" s="27" t="str">
        <f t="shared" si="0"/>
        <v/>
      </c>
      <c r="P40" s="26"/>
    </row>
    <row r="41" spans="1:16" ht="15.95" customHeight="1" x14ac:dyDescent="0.25">
      <c r="A41" s="26">
        <v>28</v>
      </c>
      <c r="B41" s="30">
        <v>46070</v>
      </c>
      <c r="C41" s="32" t="s">
        <v>13</v>
      </c>
      <c r="D41" s="34"/>
      <c r="E41" s="36"/>
      <c r="F41" s="27">
        <v>0.16148000000000001</v>
      </c>
      <c r="G41" s="28" t="s">
        <v>430</v>
      </c>
      <c r="H41" s="26" t="str">
        <f>IFERROR(INDEX(REALDATA!$C$2:$C$1048576,MATCH(G41,REALDATA!$B$2:$B$1048576,0)),"130/TR")</f>
        <v>130/TR</v>
      </c>
      <c r="I41" s="28" t="s">
        <v>431</v>
      </c>
      <c r="J41" s="26" t="s">
        <v>387</v>
      </c>
      <c r="K41" s="28" t="s">
        <v>432</v>
      </c>
      <c r="L41" s="28"/>
      <c r="M41" s="28"/>
      <c r="N41" s="26"/>
      <c r="O41" s="27" t="str">
        <f t="shared" si="0"/>
        <v/>
      </c>
      <c r="P41" s="26"/>
    </row>
    <row r="42" spans="1:16" ht="15.95" customHeight="1" x14ac:dyDescent="0.25">
      <c r="A42" s="26">
        <v>29</v>
      </c>
      <c r="B42" s="30">
        <v>46071</v>
      </c>
      <c r="C42" s="32" t="s">
        <v>13</v>
      </c>
      <c r="D42" s="34"/>
      <c r="E42" s="36"/>
      <c r="F42" s="27">
        <v>0.18609999999999999</v>
      </c>
      <c r="G42" s="28" t="s">
        <v>411</v>
      </c>
      <c r="H42" s="26" t="s">
        <v>411</v>
      </c>
      <c r="I42" s="28" t="s">
        <v>411</v>
      </c>
      <c r="J42" s="26" t="s">
        <v>411</v>
      </c>
      <c r="K42" s="28" t="s">
        <v>433</v>
      </c>
      <c r="L42" s="28"/>
      <c r="M42" s="28"/>
      <c r="N42" s="26"/>
      <c r="O42" s="27" t="str">
        <f t="shared" si="0"/>
        <v/>
      </c>
      <c r="P42" s="26"/>
    </row>
    <row r="43" spans="1:16" ht="15.95" customHeight="1" x14ac:dyDescent="0.25">
      <c r="A43" s="26">
        <v>30</v>
      </c>
      <c r="B43" s="30">
        <v>46071</v>
      </c>
      <c r="C43" s="32" t="s">
        <v>13</v>
      </c>
      <c r="D43" s="34"/>
      <c r="E43" s="36"/>
      <c r="F43" s="27">
        <v>0.19206000000000001</v>
      </c>
      <c r="G43" s="28" t="s">
        <v>385</v>
      </c>
      <c r="H43" s="26" t="str">
        <f>IFERROR(INDEX(REALDATA!$C$2:$C$1048576,MATCH(G43,REALDATA!$B$2:$B$1048576,0)),"131/CR")</f>
        <v>131/CR</v>
      </c>
      <c r="I43" s="28" t="s">
        <v>434</v>
      </c>
      <c r="J43" s="26" t="s">
        <v>387</v>
      </c>
      <c r="K43" s="28" t="s">
        <v>435</v>
      </c>
      <c r="L43" s="28"/>
      <c r="M43" s="28"/>
      <c r="N43" s="26"/>
      <c r="O43" s="27" t="str">
        <f t="shared" si="0"/>
        <v/>
      </c>
      <c r="P43" s="26"/>
    </row>
    <row r="44" spans="1:16" ht="15.95" customHeight="1" x14ac:dyDescent="0.25">
      <c r="A44" s="26">
        <v>31</v>
      </c>
      <c r="B44" s="30">
        <v>46071</v>
      </c>
      <c r="C44" s="32" t="s">
        <v>13</v>
      </c>
      <c r="D44" s="34"/>
      <c r="E44" s="36"/>
      <c r="F44" s="27">
        <v>0.16464000000000001</v>
      </c>
      <c r="G44" s="28" t="s">
        <v>385</v>
      </c>
      <c r="H44" s="26" t="str">
        <f>IFERROR(INDEX(REALDATA!$C$2:$C$1048576,MATCH(G44,REALDATA!$B$2:$B$1048576,0)),"131/CR")</f>
        <v>131/CR</v>
      </c>
      <c r="I44" s="28" t="s">
        <v>436</v>
      </c>
      <c r="J44" s="26" t="s">
        <v>387</v>
      </c>
      <c r="K44" s="28" t="s">
        <v>437</v>
      </c>
      <c r="L44" s="28"/>
      <c r="M44" s="28"/>
      <c r="N44" s="26"/>
      <c r="O44" s="27" t="str">
        <f t="shared" si="0"/>
        <v/>
      </c>
      <c r="P44" s="26"/>
    </row>
    <row r="45" spans="1:16" ht="15.95" customHeight="1" x14ac:dyDescent="0.25">
      <c r="A45" s="26">
        <v>32</v>
      </c>
      <c r="B45" s="30">
        <v>46072</v>
      </c>
      <c r="C45" s="32" t="s">
        <v>13</v>
      </c>
      <c r="D45" s="34"/>
      <c r="E45" s="36"/>
      <c r="F45" s="27">
        <v>0.17501</v>
      </c>
      <c r="G45" s="28" t="s">
        <v>430</v>
      </c>
      <c r="H45" s="26" t="str">
        <f>IFERROR(INDEX(REALDATA!$C$2:$C$1048576,MATCH(G45,REALDATA!$B$2:$B$1048576,0)),"130/TR")</f>
        <v>130/TR</v>
      </c>
      <c r="I45" s="28" t="s">
        <v>431</v>
      </c>
      <c r="J45" s="26" t="s">
        <v>387</v>
      </c>
      <c r="K45" s="28" t="s">
        <v>438</v>
      </c>
      <c r="L45" s="28"/>
      <c r="M45" s="28"/>
      <c r="N45" s="26"/>
      <c r="O45" s="27" t="str">
        <f t="shared" si="0"/>
        <v/>
      </c>
      <c r="P45" s="26"/>
    </row>
    <row r="46" spans="1:16" ht="15.95" customHeight="1" x14ac:dyDescent="0.25">
      <c r="A46" s="26">
        <v>33</v>
      </c>
      <c r="B46" s="30">
        <v>46073</v>
      </c>
      <c r="C46" s="32" t="s">
        <v>13</v>
      </c>
      <c r="D46" s="34"/>
      <c r="E46" s="36"/>
      <c r="F46" s="27">
        <v>0.30846000000000001</v>
      </c>
      <c r="G46" s="28" t="s">
        <v>389</v>
      </c>
      <c r="H46" s="26" t="str">
        <f>IFERROR(INDEX(REALDATA!$C$2:$C$1048576,MATCH(G46,REALDATA!$B$2:$B$1048576,0)),"125/FJ")</f>
        <v>125/FJ</v>
      </c>
      <c r="I46" s="28" t="s">
        <v>439</v>
      </c>
      <c r="J46" s="26" t="s">
        <v>387</v>
      </c>
      <c r="K46" s="28" t="s">
        <v>440</v>
      </c>
      <c r="L46" s="28"/>
      <c r="M46" s="28"/>
      <c r="N46" s="26"/>
      <c r="O46" s="27" t="str">
        <f t="shared" si="0"/>
        <v/>
      </c>
      <c r="P46" s="26"/>
    </row>
    <row r="47" spans="1:16" ht="15.95" customHeight="1" x14ac:dyDescent="0.25">
      <c r="A47" s="26">
        <v>34</v>
      </c>
      <c r="B47" s="30">
        <v>46074</v>
      </c>
      <c r="C47" s="32" t="s">
        <v>13</v>
      </c>
      <c r="D47" s="34"/>
      <c r="E47" s="36"/>
      <c r="F47" s="27">
        <v>5.3039999999999997E-2</v>
      </c>
      <c r="G47" s="28" t="s">
        <v>385</v>
      </c>
      <c r="H47" s="26" t="str">
        <f>IFERROR(INDEX(REALDATA!$C$2:$C$1048576,MATCH(G47,REALDATA!$B$2:$B$1048576,0)),"131/CR")</f>
        <v>131/CR</v>
      </c>
      <c r="I47" s="28" t="s">
        <v>436</v>
      </c>
      <c r="J47" s="26" t="s">
        <v>387</v>
      </c>
      <c r="K47" s="28" t="s">
        <v>441</v>
      </c>
      <c r="L47" s="28"/>
      <c r="M47" s="28"/>
      <c r="N47" s="26"/>
      <c r="O47" s="27" t="str">
        <f t="shared" si="0"/>
        <v/>
      </c>
      <c r="P47" s="26"/>
    </row>
    <row r="48" spans="1:16" ht="15.95" customHeight="1" x14ac:dyDescent="0.25">
      <c r="A48" s="26">
        <v>35</v>
      </c>
      <c r="B48" s="30">
        <v>46074</v>
      </c>
      <c r="C48" s="32" t="s">
        <v>13</v>
      </c>
      <c r="D48" s="34"/>
      <c r="E48" s="36"/>
      <c r="F48" s="27">
        <v>5.2220000000000003E-2</v>
      </c>
      <c r="G48" s="28" t="s">
        <v>385</v>
      </c>
      <c r="H48" s="26" t="str">
        <f>IFERROR(INDEX(REALDATA!$C$2:$C$1048576,MATCH(G48,REALDATA!$B$2:$B$1048576,0)),"131/CR")</f>
        <v>131/CR</v>
      </c>
      <c r="I48" s="28" t="s">
        <v>401</v>
      </c>
      <c r="J48" s="26" t="s">
        <v>387</v>
      </c>
      <c r="K48" s="28" t="s">
        <v>442</v>
      </c>
      <c r="L48" s="28"/>
      <c r="M48" s="28"/>
      <c r="N48" s="26"/>
      <c r="O48" s="27" t="str">
        <f t="shared" si="0"/>
        <v/>
      </c>
      <c r="P48" s="26"/>
    </row>
    <row r="49" spans="1:16" ht="15.95" customHeight="1" x14ac:dyDescent="0.25">
      <c r="A49" s="26">
        <v>36</v>
      </c>
      <c r="B49" s="30">
        <v>46076</v>
      </c>
      <c r="C49" s="32" t="s">
        <v>13</v>
      </c>
      <c r="D49" s="34"/>
      <c r="E49" s="36"/>
      <c r="F49" s="27">
        <v>0.39313999999999999</v>
      </c>
      <c r="G49" s="28" t="s">
        <v>385</v>
      </c>
      <c r="H49" s="26" t="str">
        <f>IFERROR(INDEX(REALDATA!$C$2:$C$1048576,MATCH(G49,REALDATA!$B$2:$B$1048576,0)),"131/CR")</f>
        <v>131/CR</v>
      </c>
      <c r="I49" s="28" t="s">
        <v>443</v>
      </c>
      <c r="J49" s="26" t="s">
        <v>387</v>
      </c>
      <c r="K49" s="28" t="s">
        <v>444</v>
      </c>
      <c r="L49" s="28"/>
      <c r="M49" s="28"/>
      <c r="N49" s="26"/>
      <c r="O49" s="27" t="str">
        <f t="shared" si="0"/>
        <v/>
      </c>
      <c r="P49" s="26"/>
    </row>
    <row r="50" spans="1:16" ht="15.95" customHeight="1" x14ac:dyDescent="0.25">
      <c r="A50" s="26">
        <v>37</v>
      </c>
      <c r="B50" s="30">
        <v>46076</v>
      </c>
      <c r="C50" s="32" t="s">
        <v>13</v>
      </c>
      <c r="D50" s="34"/>
      <c r="E50" s="36"/>
      <c r="F50" s="27">
        <v>0.108945</v>
      </c>
      <c r="G50" s="28" t="s">
        <v>411</v>
      </c>
      <c r="H50" s="26" t="s">
        <v>411</v>
      </c>
      <c r="I50" s="28" t="s">
        <v>411</v>
      </c>
      <c r="J50" s="26" t="s">
        <v>411</v>
      </c>
      <c r="K50" s="28" t="s">
        <v>445</v>
      </c>
      <c r="L50" s="28"/>
      <c r="M50" s="28"/>
      <c r="N50" s="26"/>
      <c r="O50" s="27" t="str">
        <f t="shared" si="0"/>
        <v/>
      </c>
      <c r="P50" s="26"/>
    </row>
    <row r="51" spans="1:16" ht="15.95" customHeight="1" x14ac:dyDescent="0.25">
      <c r="A51" s="26">
        <v>38</v>
      </c>
      <c r="B51" s="30">
        <v>46076</v>
      </c>
      <c r="C51" s="32" t="s">
        <v>13</v>
      </c>
      <c r="D51" s="34"/>
      <c r="E51" s="36"/>
      <c r="F51" s="27">
        <v>0.32918999999999998</v>
      </c>
      <c r="G51" s="28" t="s">
        <v>446</v>
      </c>
      <c r="H51" s="26" t="str">
        <f>IFERROR(INDEX(REALDATA!$C$2:$C$1048576,MATCH(G51,REALDATA!$B$2:$B$1048576,0)),"041/TD")</f>
        <v>041/TD</v>
      </c>
      <c r="I51" s="28" t="s">
        <v>447</v>
      </c>
      <c r="J51" s="26" t="s">
        <v>387</v>
      </c>
      <c r="K51" s="28" t="s">
        <v>448</v>
      </c>
      <c r="L51" s="28"/>
      <c r="M51" s="28"/>
      <c r="N51" s="26"/>
      <c r="O51" s="27" t="str">
        <f t="shared" si="0"/>
        <v/>
      </c>
      <c r="P51" s="26"/>
    </row>
    <row r="52" spans="1:16" ht="15.95" customHeight="1" x14ac:dyDescent="0.25">
      <c r="A52" s="26">
        <v>39</v>
      </c>
      <c r="B52" s="30">
        <v>46077</v>
      </c>
      <c r="C52" s="32" t="s">
        <v>13</v>
      </c>
      <c r="D52" s="34"/>
      <c r="E52" s="36"/>
      <c r="F52" s="27">
        <v>5.3515E-2</v>
      </c>
      <c r="G52" s="28" t="s">
        <v>411</v>
      </c>
      <c r="H52" s="26" t="s">
        <v>411</v>
      </c>
      <c r="I52" s="28" t="s">
        <v>415</v>
      </c>
      <c r="J52" s="26" t="s">
        <v>411</v>
      </c>
      <c r="K52" s="28" t="s">
        <v>449</v>
      </c>
      <c r="L52" s="28"/>
      <c r="M52" s="28"/>
      <c r="N52" s="26"/>
      <c r="O52" s="27" t="str">
        <f t="shared" si="0"/>
        <v/>
      </c>
      <c r="P52" s="26"/>
    </row>
    <row r="53" spans="1:16" ht="15.95" customHeight="1" x14ac:dyDescent="0.25">
      <c r="A53" s="26">
        <v>40</v>
      </c>
      <c r="B53" s="30">
        <v>46077</v>
      </c>
      <c r="C53" s="32" t="s">
        <v>13</v>
      </c>
      <c r="D53" s="34"/>
      <c r="E53" s="36"/>
      <c r="F53" s="27">
        <v>6.2359999999999999E-2</v>
      </c>
      <c r="G53" s="28" t="s">
        <v>411</v>
      </c>
      <c r="H53" s="26" t="s">
        <v>411</v>
      </c>
      <c r="I53" s="28" t="s">
        <v>411</v>
      </c>
      <c r="J53" s="26" t="s">
        <v>411</v>
      </c>
      <c r="K53" s="28" t="s">
        <v>450</v>
      </c>
      <c r="L53" s="28"/>
      <c r="M53" s="28"/>
      <c r="N53" s="26"/>
      <c r="O53" s="27" t="str">
        <f t="shared" si="0"/>
        <v/>
      </c>
      <c r="P53" s="26"/>
    </row>
    <row r="54" spans="1:16" ht="15.95" customHeight="1" x14ac:dyDescent="0.25">
      <c r="A54" s="26">
        <v>41</v>
      </c>
      <c r="B54" s="30">
        <v>46077</v>
      </c>
      <c r="C54" s="32" t="s">
        <v>13</v>
      </c>
      <c r="D54" s="34"/>
      <c r="E54" s="36"/>
      <c r="F54" s="27">
        <v>6.8220000000000003E-2</v>
      </c>
      <c r="G54" s="28" t="s">
        <v>389</v>
      </c>
      <c r="H54" s="26" t="str">
        <f>IFERROR(INDEX(REALDATA!$C$2:$C$1048576,MATCH(G54,REALDATA!$B$2:$B$1048576,0)),"125/FJ")</f>
        <v>125/FJ</v>
      </c>
      <c r="I54" s="28" t="s">
        <v>386</v>
      </c>
      <c r="J54" s="26" t="s">
        <v>387</v>
      </c>
      <c r="K54" s="28" t="s">
        <v>451</v>
      </c>
      <c r="L54" s="28"/>
      <c r="M54" s="28"/>
      <c r="N54" s="26"/>
      <c r="O54" s="27" t="str">
        <f t="shared" si="0"/>
        <v/>
      </c>
      <c r="P54" s="26"/>
    </row>
    <row r="55" spans="1:16" ht="15.95" customHeight="1" x14ac:dyDescent="0.25">
      <c r="A55" s="26">
        <v>42</v>
      </c>
      <c r="B55" s="30">
        <v>46077</v>
      </c>
      <c r="C55" s="32" t="s">
        <v>13</v>
      </c>
      <c r="D55" s="34"/>
      <c r="E55" s="36"/>
      <c r="F55" s="27">
        <v>0.14112</v>
      </c>
      <c r="G55" s="28" t="s">
        <v>385</v>
      </c>
      <c r="H55" s="26" t="str">
        <f>IFERROR(INDEX(REALDATA!$C$2:$C$1048576,MATCH(G55,REALDATA!$B$2:$B$1048576,0)),"131/CR")</f>
        <v>131/CR</v>
      </c>
      <c r="I55" s="28" t="s">
        <v>443</v>
      </c>
      <c r="J55" s="26" t="s">
        <v>387</v>
      </c>
      <c r="K55" s="28" t="s">
        <v>452</v>
      </c>
      <c r="L55" s="28"/>
      <c r="M55" s="28"/>
      <c r="N55" s="26"/>
      <c r="O55" s="27" t="str">
        <f t="shared" si="0"/>
        <v/>
      </c>
      <c r="P55" s="26"/>
    </row>
    <row r="56" spans="1:16" ht="15.95" customHeight="1" x14ac:dyDescent="0.25">
      <c r="A56" s="26">
        <v>43</v>
      </c>
      <c r="B56" s="30">
        <v>46077</v>
      </c>
      <c r="C56" s="32" t="s">
        <v>13</v>
      </c>
      <c r="D56" s="34"/>
      <c r="E56" s="36"/>
      <c r="F56" s="27">
        <v>0.1244</v>
      </c>
      <c r="G56" s="28" t="s">
        <v>385</v>
      </c>
      <c r="H56" s="26" t="str">
        <f>IFERROR(INDEX(REALDATA!$C$2:$C$1048576,MATCH(G56,REALDATA!$B$2:$B$1048576,0)),"131/CR")</f>
        <v>131/CR</v>
      </c>
      <c r="I56" s="28" t="s">
        <v>453</v>
      </c>
      <c r="J56" s="26" t="s">
        <v>387</v>
      </c>
      <c r="K56" s="28" t="s">
        <v>454</v>
      </c>
      <c r="L56" s="28"/>
      <c r="M56" s="28"/>
      <c r="N56" s="26"/>
      <c r="O56" s="27" t="str">
        <f t="shared" si="0"/>
        <v/>
      </c>
      <c r="P56" s="26"/>
    </row>
    <row r="57" spans="1:16" ht="15.95" customHeight="1" x14ac:dyDescent="0.25">
      <c r="A57" s="26">
        <v>44</v>
      </c>
      <c r="B57" s="30">
        <v>46077</v>
      </c>
      <c r="C57" s="32" t="s">
        <v>13</v>
      </c>
      <c r="D57" s="34"/>
      <c r="E57" s="36"/>
      <c r="F57" s="27">
        <v>4.9110000000000001E-2</v>
      </c>
      <c r="G57" s="28" t="s">
        <v>389</v>
      </c>
      <c r="H57" s="26" t="str">
        <f>IFERROR(INDEX(REALDATA!$C$2:$C$1048576,MATCH(G57,REALDATA!$B$2:$B$1048576,0)),"125/FJ")</f>
        <v>125/FJ</v>
      </c>
      <c r="I57" s="28" t="s">
        <v>423</v>
      </c>
      <c r="J57" s="26" t="s">
        <v>387</v>
      </c>
      <c r="K57" s="28" t="s">
        <v>455</v>
      </c>
      <c r="L57" s="28"/>
      <c r="M57" s="28"/>
      <c r="N57" s="26"/>
      <c r="O57" s="27" t="str">
        <f t="shared" si="0"/>
        <v/>
      </c>
      <c r="P57" s="26"/>
    </row>
    <row r="58" spans="1:16" ht="15.95" customHeight="1" x14ac:dyDescent="0.25">
      <c r="A58" s="26">
        <v>45</v>
      </c>
      <c r="B58" s="30">
        <v>46078</v>
      </c>
      <c r="C58" s="32" t="s">
        <v>13</v>
      </c>
      <c r="D58" s="34"/>
      <c r="E58" s="36"/>
      <c r="F58" s="27">
        <v>0.113</v>
      </c>
      <c r="G58" s="28" t="s">
        <v>385</v>
      </c>
      <c r="H58" s="26" t="str">
        <f>IFERROR(INDEX(REALDATA!$C$2:$C$1048576,MATCH(G58,REALDATA!$B$2:$B$1048576,0)),"131/CR")</f>
        <v>131/CR</v>
      </c>
      <c r="I58" s="28" t="s">
        <v>453</v>
      </c>
      <c r="J58" s="26" t="s">
        <v>387</v>
      </c>
      <c r="K58" s="28" t="s">
        <v>456</v>
      </c>
      <c r="L58" s="28"/>
      <c r="M58" s="28"/>
      <c r="N58" s="26"/>
      <c r="O58" s="27" t="str">
        <f t="shared" si="0"/>
        <v/>
      </c>
      <c r="P58" s="26"/>
    </row>
    <row r="59" spans="1:16" ht="15.95" customHeight="1" x14ac:dyDescent="0.25">
      <c r="A59" s="26">
        <v>46</v>
      </c>
      <c r="B59" s="30">
        <v>46078</v>
      </c>
      <c r="C59" s="32" t="s">
        <v>13</v>
      </c>
      <c r="D59" s="34"/>
      <c r="E59" s="36"/>
      <c r="F59" s="27">
        <v>0.39191999999999999</v>
      </c>
      <c r="G59" s="28" t="s">
        <v>385</v>
      </c>
      <c r="H59" s="26" t="str">
        <f>IFERROR(INDEX(REALDATA!$C$2:$C$1048576,MATCH(G59,REALDATA!$B$2:$B$1048576,0)),"131/CR")</f>
        <v>131/CR</v>
      </c>
      <c r="I59" s="28" t="s">
        <v>434</v>
      </c>
      <c r="J59" s="26" t="s">
        <v>387</v>
      </c>
      <c r="K59" s="28" t="s">
        <v>457</v>
      </c>
      <c r="L59" s="28"/>
      <c r="M59" s="28"/>
      <c r="N59" s="26"/>
      <c r="O59" s="27" t="str">
        <f t="shared" si="0"/>
        <v/>
      </c>
      <c r="P59" s="26"/>
    </row>
    <row r="60" spans="1:16" ht="15.95" customHeight="1" x14ac:dyDescent="0.25">
      <c r="A60" s="26">
        <v>47</v>
      </c>
      <c r="B60" s="30">
        <v>46078</v>
      </c>
      <c r="C60" s="32" t="s">
        <v>13</v>
      </c>
      <c r="D60" s="34"/>
      <c r="E60" s="36"/>
      <c r="F60" s="27">
        <v>4.6109999999999998E-2</v>
      </c>
      <c r="G60" s="28" t="s">
        <v>389</v>
      </c>
      <c r="H60" s="26" t="str">
        <f>IFERROR(INDEX(REALDATA!$C$2:$C$1048576,MATCH(G60,REALDATA!$B$2:$B$1048576,0)),"125/FJ")</f>
        <v>125/FJ</v>
      </c>
      <c r="I60" s="28" t="s">
        <v>409</v>
      </c>
      <c r="J60" s="26" t="s">
        <v>387</v>
      </c>
      <c r="K60" s="28" t="s">
        <v>458</v>
      </c>
      <c r="L60" s="28"/>
      <c r="M60" s="28"/>
      <c r="N60" s="26"/>
      <c r="O60" s="27" t="str">
        <f t="shared" si="0"/>
        <v/>
      </c>
      <c r="P60" s="26"/>
    </row>
    <row r="61" spans="1:16" ht="15.95" customHeight="1" x14ac:dyDescent="0.25">
      <c r="A61" s="26">
        <v>48</v>
      </c>
      <c r="B61" s="30">
        <v>46078</v>
      </c>
      <c r="C61" s="32" t="s">
        <v>13</v>
      </c>
      <c r="D61" s="34"/>
      <c r="E61" s="36"/>
      <c r="F61" s="27">
        <v>0.23638000000000001</v>
      </c>
      <c r="G61" s="28" t="s">
        <v>411</v>
      </c>
      <c r="H61" s="26" t="s">
        <v>411</v>
      </c>
      <c r="I61" s="28" t="s">
        <v>411</v>
      </c>
      <c r="J61" s="26" t="s">
        <v>411</v>
      </c>
      <c r="K61" s="28" t="s">
        <v>459</v>
      </c>
      <c r="L61" s="28"/>
      <c r="M61" s="28"/>
      <c r="N61" s="26"/>
      <c r="O61" s="27" t="str">
        <f t="shared" si="0"/>
        <v/>
      </c>
      <c r="P61" s="26"/>
    </row>
    <row r="62" spans="1:16" ht="15.95" customHeight="1" x14ac:dyDescent="0.25">
      <c r="A62" s="26">
        <v>49</v>
      </c>
      <c r="B62" s="30">
        <v>46078</v>
      </c>
      <c r="C62" s="32" t="s">
        <v>13</v>
      </c>
      <c r="D62" s="34"/>
      <c r="E62" s="36"/>
      <c r="F62" s="27">
        <v>0.12393</v>
      </c>
      <c r="G62" s="28" t="s">
        <v>389</v>
      </c>
      <c r="H62" s="26" t="str">
        <f>IFERROR(INDEX(REALDATA!$C$2:$C$1048576,MATCH(G62,REALDATA!$B$2:$B$1048576,0)),"125/FJ")</f>
        <v>125/FJ</v>
      </c>
      <c r="I62" s="28" t="s">
        <v>460</v>
      </c>
      <c r="J62" s="26" t="s">
        <v>387</v>
      </c>
      <c r="K62" s="28" t="s">
        <v>461</v>
      </c>
      <c r="L62" s="28"/>
      <c r="M62" s="28"/>
      <c r="N62" s="26"/>
      <c r="O62" s="27" t="str">
        <f t="shared" si="0"/>
        <v/>
      </c>
      <c r="P62" s="26"/>
    </row>
    <row r="63" spans="1:16" ht="15.95" customHeight="1" x14ac:dyDescent="0.25">
      <c r="A63" s="26">
        <v>50</v>
      </c>
      <c r="B63" s="30">
        <v>46080</v>
      </c>
      <c r="C63" s="32" t="s">
        <v>13</v>
      </c>
      <c r="D63" s="34"/>
      <c r="E63" s="36"/>
      <c r="F63" s="27">
        <v>0.21185999999999999</v>
      </c>
      <c r="G63" s="28" t="s">
        <v>446</v>
      </c>
      <c r="H63" s="26" t="str">
        <f>IFERROR(INDEX(REALDATA!$C$2:$C$1048576,MATCH(G63,REALDATA!$B$2:$B$1048576,0)),"041/TD")</f>
        <v>041/TD</v>
      </c>
      <c r="I63" s="28" t="s">
        <v>447</v>
      </c>
      <c r="J63" s="26" t="s">
        <v>387</v>
      </c>
      <c r="K63" s="28" t="s">
        <v>462</v>
      </c>
      <c r="L63" s="28"/>
      <c r="M63" s="28"/>
      <c r="N63" s="26"/>
      <c r="O63" s="27" t="str">
        <f t="shared" si="0"/>
        <v/>
      </c>
      <c r="P63" s="26"/>
    </row>
    <row r="64" spans="1:16" ht="15.95" customHeight="1" x14ac:dyDescent="0.25">
      <c r="A64" s="26">
        <v>51</v>
      </c>
      <c r="B64" s="30">
        <v>46080</v>
      </c>
      <c r="C64" s="32" t="s">
        <v>13</v>
      </c>
      <c r="D64" s="34"/>
      <c r="E64" s="36"/>
      <c r="F64" s="27">
        <v>0.107055</v>
      </c>
      <c r="G64" s="28" t="s">
        <v>385</v>
      </c>
      <c r="H64" s="26" t="str">
        <f>IFERROR(INDEX(REALDATA!$C$2:$C$1048576,MATCH(G64,REALDATA!$B$2:$B$1048576,0)),"131/CR")</f>
        <v>131/CR</v>
      </c>
      <c r="I64" s="28" t="s">
        <v>434</v>
      </c>
      <c r="J64" s="26" t="s">
        <v>387</v>
      </c>
      <c r="K64" s="28" t="s">
        <v>463</v>
      </c>
      <c r="L64" s="28"/>
      <c r="M64" s="28"/>
      <c r="N64" s="26"/>
      <c r="O64" s="27" t="str">
        <f t="shared" si="0"/>
        <v/>
      </c>
      <c r="P64" s="26"/>
    </row>
    <row r="65" spans="1:16" ht="15.95" customHeight="1" x14ac:dyDescent="0.25">
      <c r="A65" s="26">
        <v>52</v>
      </c>
      <c r="B65" s="30">
        <v>46083</v>
      </c>
      <c r="C65" s="32" t="s">
        <v>13</v>
      </c>
      <c r="D65" s="34"/>
      <c r="E65" s="36"/>
      <c r="F65" s="27">
        <v>0.12159</v>
      </c>
      <c r="G65" s="28" t="s">
        <v>389</v>
      </c>
      <c r="H65" s="26" t="str">
        <f>IFERROR(INDEX(REALDATA!$C$2:$C$1048576,MATCH(G65,REALDATA!$B$2:$B$1048576,0)),"125/FJ")</f>
        <v>125/FJ</v>
      </c>
      <c r="I65" s="28" t="s">
        <v>423</v>
      </c>
      <c r="J65" s="26" t="s">
        <v>387</v>
      </c>
      <c r="K65" s="28" t="s">
        <v>464</v>
      </c>
      <c r="L65" s="28"/>
      <c r="M65" s="28"/>
      <c r="N65" s="26"/>
      <c r="O65" s="27" t="str">
        <f t="shared" si="0"/>
        <v/>
      </c>
      <c r="P65" s="26"/>
    </row>
    <row r="66" spans="1:16" ht="15.95" customHeight="1" x14ac:dyDescent="0.25">
      <c r="A66" s="26">
        <v>53</v>
      </c>
      <c r="B66" s="30">
        <v>46083</v>
      </c>
      <c r="C66" s="32" t="s">
        <v>13</v>
      </c>
      <c r="D66" s="34"/>
      <c r="E66" s="36"/>
      <c r="F66" s="27">
        <v>7.3150000000000007E-2</v>
      </c>
      <c r="G66" s="28" t="s">
        <v>389</v>
      </c>
      <c r="H66" s="26" t="str">
        <f>IFERROR(INDEX(REALDATA!$C$2:$C$1048576,MATCH(G66,REALDATA!$B$2:$B$1048576,0)),"125/FJ")</f>
        <v>125/FJ</v>
      </c>
      <c r="I66" s="28" t="s">
        <v>439</v>
      </c>
      <c r="J66" s="26" t="s">
        <v>387</v>
      </c>
      <c r="K66" s="28" t="s">
        <v>465</v>
      </c>
      <c r="L66" s="28"/>
      <c r="M66" s="28"/>
      <c r="N66" s="26"/>
      <c r="O66" s="27" t="str">
        <f t="shared" si="0"/>
        <v/>
      </c>
      <c r="P66" s="26"/>
    </row>
    <row r="67" spans="1:16" ht="15.95" customHeight="1" x14ac:dyDescent="0.25">
      <c r="A67" s="26">
        <v>54</v>
      </c>
      <c r="B67" s="30">
        <v>46083</v>
      </c>
      <c r="C67" s="32" t="s">
        <v>13</v>
      </c>
      <c r="D67" s="34"/>
      <c r="E67" s="36"/>
      <c r="F67" s="27">
        <v>5.2679999999999998E-2</v>
      </c>
      <c r="G67" s="28" t="s">
        <v>411</v>
      </c>
      <c r="H67" s="26" t="s">
        <v>411</v>
      </c>
      <c r="I67" s="28" t="s">
        <v>415</v>
      </c>
      <c r="J67" s="26" t="s">
        <v>411</v>
      </c>
      <c r="K67" s="28" t="s">
        <v>466</v>
      </c>
      <c r="L67" s="28"/>
      <c r="M67" s="28"/>
      <c r="N67" s="26"/>
      <c r="O67" s="27" t="str">
        <f t="shared" si="0"/>
        <v/>
      </c>
      <c r="P67" s="26"/>
    </row>
    <row r="68" spans="1:16" ht="15.95" customHeight="1" x14ac:dyDescent="0.25">
      <c r="A68" s="26">
        <v>55</v>
      </c>
      <c r="B68" s="30">
        <v>46083</v>
      </c>
      <c r="C68" s="32" t="s">
        <v>13</v>
      </c>
      <c r="D68" s="34"/>
      <c r="E68" s="36"/>
      <c r="F68" s="27">
        <v>3.7664999999999997E-2</v>
      </c>
      <c r="G68" s="28" t="s">
        <v>411</v>
      </c>
      <c r="H68" s="26" t="s">
        <v>411</v>
      </c>
      <c r="I68" s="28" t="s">
        <v>411</v>
      </c>
      <c r="J68" s="26" t="s">
        <v>411</v>
      </c>
      <c r="K68" s="28" t="s">
        <v>467</v>
      </c>
      <c r="L68" s="28"/>
      <c r="M68" s="28"/>
      <c r="N68" s="26"/>
      <c r="O68" s="27" t="str">
        <f t="shared" si="0"/>
        <v/>
      </c>
      <c r="P68" s="26"/>
    </row>
    <row r="69" spans="1:16" ht="15.95" customHeight="1" x14ac:dyDescent="0.25">
      <c r="A69" s="26">
        <v>56</v>
      </c>
      <c r="B69" s="30">
        <v>46083</v>
      </c>
      <c r="C69" s="32" t="s">
        <v>13</v>
      </c>
      <c r="D69" s="34"/>
      <c r="E69" s="36"/>
      <c r="F69" s="27">
        <v>0.12207</v>
      </c>
      <c r="G69" s="28" t="s">
        <v>446</v>
      </c>
      <c r="H69" s="26" t="str">
        <f>IFERROR(INDEX(REALDATA!$C$2:$C$1048576,MATCH(G69,REALDATA!$B$2:$B$1048576,0)),"041/TD")</f>
        <v>041/TD</v>
      </c>
      <c r="I69" s="28" t="s">
        <v>447</v>
      </c>
      <c r="J69" s="26" t="s">
        <v>387</v>
      </c>
      <c r="K69" s="28" t="s">
        <v>468</v>
      </c>
      <c r="L69" s="28"/>
      <c r="M69" s="28"/>
      <c r="N69" s="26"/>
      <c r="O69" s="27" t="str">
        <f t="shared" si="0"/>
        <v/>
      </c>
      <c r="P69" s="26"/>
    </row>
    <row r="70" spans="1:16" ht="15.95" customHeight="1" x14ac:dyDescent="0.25">
      <c r="A70" s="26">
        <v>57</v>
      </c>
      <c r="B70" s="30">
        <v>46083</v>
      </c>
      <c r="C70" s="32" t="s">
        <v>13</v>
      </c>
      <c r="D70" s="34"/>
      <c r="E70" s="36"/>
      <c r="F70" s="27">
        <v>0.55013000000000001</v>
      </c>
      <c r="G70" s="28" t="s">
        <v>389</v>
      </c>
      <c r="H70" s="26" t="str">
        <f>IFERROR(INDEX(REALDATA!$C$2:$C$1048576,MATCH(G70,REALDATA!$B$2:$B$1048576,0)),"125/FJ")</f>
        <v>125/FJ</v>
      </c>
      <c r="I70" s="28" t="s">
        <v>460</v>
      </c>
      <c r="J70" s="26" t="s">
        <v>387</v>
      </c>
      <c r="K70" s="28" t="s">
        <v>469</v>
      </c>
      <c r="L70" s="28"/>
      <c r="M70" s="28"/>
      <c r="N70" s="26"/>
      <c r="O70" s="27" t="str">
        <f t="shared" si="0"/>
        <v/>
      </c>
      <c r="P70" s="26"/>
    </row>
    <row r="71" spans="1:16" ht="15.95" customHeight="1" x14ac:dyDescent="0.25">
      <c r="A71" s="26">
        <v>58</v>
      </c>
      <c r="B71" s="30">
        <v>46085</v>
      </c>
      <c r="C71" s="32" t="s">
        <v>13</v>
      </c>
      <c r="D71" s="34"/>
      <c r="E71" s="36"/>
      <c r="F71" s="27">
        <v>0.28239999999999998</v>
      </c>
      <c r="G71" s="28" t="s">
        <v>446</v>
      </c>
      <c r="H71" s="26" t="str">
        <f>IFERROR(INDEX(REALDATA!$C$2:$C$1048576,MATCH(G71,REALDATA!$B$2:$B$1048576,0)),"041/TD")</f>
        <v>041/TD</v>
      </c>
      <c r="I71" s="28" t="s">
        <v>447</v>
      </c>
      <c r="J71" s="26" t="s">
        <v>387</v>
      </c>
      <c r="K71" s="28" t="s">
        <v>470</v>
      </c>
      <c r="L71" s="28"/>
      <c r="M71" s="28"/>
      <c r="N71" s="26"/>
      <c r="O71" s="27" t="str">
        <f t="shared" si="0"/>
        <v/>
      </c>
      <c r="P71" s="26"/>
    </row>
    <row r="72" spans="1:16" ht="15.95" customHeight="1" x14ac:dyDescent="0.25">
      <c r="A72" s="26">
        <v>59</v>
      </c>
      <c r="B72" s="30">
        <v>46085</v>
      </c>
      <c r="C72" s="32" t="s">
        <v>13</v>
      </c>
      <c r="D72" s="34"/>
      <c r="E72" s="36"/>
      <c r="F72" s="27">
        <v>0.80528999999999995</v>
      </c>
      <c r="G72" s="28" t="s">
        <v>389</v>
      </c>
      <c r="H72" s="26" t="str">
        <f>IFERROR(INDEX(REALDATA!$C$2:$C$1048576,MATCH(G72,REALDATA!$B$2:$B$1048576,0)),"125/FJ")</f>
        <v>125/FJ</v>
      </c>
      <c r="I72" s="28" t="s">
        <v>439</v>
      </c>
      <c r="J72" s="26" t="s">
        <v>387</v>
      </c>
      <c r="K72" s="28" t="s">
        <v>471</v>
      </c>
      <c r="L72" s="28"/>
      <c r="M72" s="28"/>
      <c r="N72" s="26"/>
      <c r="O72" s="27" t="str">
        <f t="shared" si="0"/>
        <v/>
      </c>
      <c r="P72" s="26"/>
    </row>
    <row r="73" spans="1:16" ht="15.95" customHeight="1" x14ac:dyDescent="0.25">
      <c r="A73" s="26">
        <v>60</v>
      </c>
      <c r="B73" s="30">
        <v>46085</v>
      </c>
      <c r="C73" s="32" t="s">
        <v>13</v>
      </c>
      <c r="D73" s="34"/>
      <c r="E73" s="36"/>
      <c r="F73" s="27">
        <v>0.10083</v>
      </c>
      <c r="G73" s="28" t="s">
        <v>389</v>
      </c>
      <c r="H73" s="26" t="str">
        <f>IFERROR(INDEX(REALDATA!$C$2:$C$1048576,MATCH(G73,REALDATA!$B$2:$B$1048576,0)),"125/FJ")</f>
        <v>125/FJ</v>
      </c>
      <c r="I73" s="28" t="s">
        <v>423</v>
      </c>
      <c r="J73" s="26" t="s">
        <v>387</v>
      </c>
      <c r="K73" s="28" t="s">
        <v>472</v>
      </c>
      <c r="L73" s="28"/>
      <c r="M73" s="28"/>
      <c r="N73" s="26"/>
      <c r="O73" s="27" t="str">
        <f t="shared" si="0"/>
        <v/>
      </c>
      <c r="P73" s="26"/>
    </row>
    <row r="74" spans="1:16" ht="15.95" customHeight="1" x14ac:dyDescent="0.25">
      <c r="A74" s="26">
        <v>61</v>
      </c>
      <c r="B74" s="30">
        <v>46087</v>
      </c>
      <c r="C74" s="32" t="s">
        <v>13</v>
      </c>
      <c r="D74" s="34"/>
      <c r="E74" s="36"/>
      <c r="F74" s="27">
        <v>0.11794499999999999</v>
      </c>
      <c r="G74" s="28" t="s">
        <v>389</v>
      </c>
      <c r="H74" s="26" t="str">
        <f>IFERROR(INDEX(REALDATA!$C$2:$C$1048576,MATCH(G74,REALDATA!$B$2:$B$1048576,0)),"125/FJ")</f>
        <v>125/FJ</v>
      </c>
      <c r="I74" s="28" t="s">
        <v>460</v>
      </c>
      <c r="J74" s="26" t="s">
        <v>387</v>
      </c>
      <c r="K74" s="28" t="s">
        <v>473</v>
      </c>
      <c r="L74" s="28"/>
      <c r="M74" s="28"/>
      <c r="N74" s="26"/>
      <c r="O74" s="27" t="str">
        <f t="shared" si="0"/>
        <v/>
      </c>
      <c r="P74" s="26"/>
    </row>
    <row r="75" spans="1:16" ht="15.95" customHeight="1" x14ac:dyDescent="0.25">
      <c r="A75" s="26">
        <v>62</v>
      </c>
      <c r="B75" s="30">
        <v>46089</v>
      </c>
      <c r="C75" s="32" t="s">
        <v>13</v>
      </c>
      <c r="D75" s="34"/>
      <c r="E75" s="36"/>
      <c r="F75" s="27">
        <v>0.30168</v>
      </c>
      <c r="G75" s="28" t="s">
        <v>389</v>
      </c>
      <c r="H75" s="26" t="str">
        <f>IFERROR(INDEX(REALDATA!$C$2:$C$1048576,MATCH(G75,REALDATA!$B$2:$B$1048576,0)),"125/FJ")</f>
        <v>125/FJ</v>
      </c>
      <c r="I75" s="28" t="s">
        <v>474</v>
      </c>
      <c r="J75" s="26" t="s">
        <v>387</v>
      </c>
      <c r="K75" s="28" t="s">
        <v>475</v>
      </c>
      <c r="L75" s="28"/>
      <c r="M75" s="28"/>
      <c r="N75" s="26"/>
      <c r="O75" s="27" t="str">
        <f t="shared" si="0"/>
        <v/>
      </c>
      <c r="P75" s="26"/>
    </row>
    <row r="76" spans="1:16" ht="15.95" customHeight="1" x14ac:dyDescent="0.25">
      <c r="A76" s="26">
        <v>63</v>
      </c>
      <c r="B76" s="30">
        <v>46089</v>
      </c>
      <c r="C76" s="32" t="s">
        <v>13</v>
      </c>
      <c r="D76" s="34"/>
      <c r="E76" s="36"/>
      <c r="F76" s="27">
        <v>0.12113500000000001</v>
      </c>
      <c r="G76" s="28" t="s">
        <v>446</v>
      </c>
      <c r="H76" s="26" t="str">
        <f>IFERROR(INDEX(REALDATA!$C$2:$C$1048576,MATCH(G76,REALDATA!$B$2:$B$1048576,0)),"041/TD")</f>
        <v>041/TD</v>
      </c>
      <c r="I76" s="28" t="s">
        <v>447</v>
      </c>
      <c r="J76" s="26" t="s">
        <v>387</v>
      </c>
      <c r="K76" s="28" t="s">
        <v>476</v>
      </c>
      <c r="L76" s="28"/>
      <c r="M76" s="28"/>
      <c r="N76" s="26"/>
      <c r="O76" s="27" t="str">
        <f t="shared" si="0"/>
        <v/>
      </c>
      <c r="P76" s="26"/>
    </row>
    <row r="77" spans="1:16" ht="15.95" customHeight="1" x14ac:dyDescent="0.25">
      <c r="A77" s="26">
        <v>64</v>
      </c>
      <c r="B77" s="30">
        <v>46089</v>
      </c>
      <c r="C77" s="32" t="s">
        <v>13</v>
      </c>
      <c r="D77" s="34"/>
      <c r="E77" s="36"/>
      <c r="F77" s="27">
        <v>0.13932</v>
      </c>
      <c r="G77" s="28" t="s">
        <v>389</v>
      </c>
      <c r="H77" s="26" t="str">
        <f>IFERROR(INDEX(REALDATA!$C$2:$C$1048576,MATCH(G77,REALDATA!$B$2:$B$1048576,0)),"125/FJ")</f>
        <v>125/FJ</v>
      </c>
      <c r="I77" s="28" t="s">
        <v>439</v>
      </c>
      <c r="J77" s="26" t="s">
        <v>387</v>
      </c>
      <c r="K77" s="28" t="s">
        <v>477</v>
      </c>
      <c r="L77" s="28"/>
      <c r="M77" s="28"/>
      <c r="N77" s="26"/>
      <c r="O77" s="27" t="str">
        <f t="shared" si="0"/>
        <v/>
      </c>
      <c r="P77" s="26"/>
    </row>
    <row r="78" spans="1:16" ht="15.95" customHeight="1" x14ac:dyDescent="0.25">
      <c r="A78" s="26">
        <v>65</v>
      </c>
      <c r="B78" s="30">
        <v>46089</v>
      </c>
      <c r="C78" s="32" t="s">
        <v>13</v>
      </c>
      <c r="D78" s="34"/>
      <c r="E78" s="36"/>
      <c r="F78" s="27">
        <v>0.34464150943396199</v>
      </c>
      <c r="G78" s="28" t="s">
        <v>478</v>
      </c>
      <c r="H78" s="26" t="str">
        <f>IFERROR(INDEX(REALDATA!$C$2:$C$1048576,MATCH(G78,REALDATA!$B$2:$B$1048576,0)),"001/RM")</f>
        <v>001/RM</v>
      </c>
      <c r="I78" s="28" t="s">
        <v>479</v>
      </c>
      <c r="J78" s="26" t="s">
        <v>387</v>
      </c>
      <c r="K78" s="28" t="s">
        <v>480</v>
      </c>
      <c r="L78" s="28"/>
      <c r="M78" s="28"/>
      <c r="N78" s="26"/>
      <c r="O78" s="27" t="str">
        <f t="shared" ref="O78:O141" si="1">IF(AND(L78="Adjustment",N78="",P78&lt;&gt;"Explained"),F78+SUMIFS($F$14:$F$5084,$N$14:$N$5084,A78,$L$14:$L$5084,"Adjustment"),"")</f>
        <v/>
      </c>
      <c r="P78" s="26"/>
    </row>
    <row r="79" spans="1:16" ht="15.95" customHeight="1" x14ac:dyDescent="0.25">
      <c r="A79" s="26">
        <v>66</v>
      </c>
      <c r="B79" s="30">
        <v>46089</v>
      </c>
      <c r="C79" s="32" t="s">
        <v>13</v>
      </c>
      <c r="D79" s="34"/>
      <c r="E79" s="36"/>
      <c r="F79" s="27">
        <v>2.06784905660377E-2</v>
      </c>
      <c r="G79" s="28" t="s">
        <v>481</v>
      </c>
      <c r="H79" s="26" t="str">
        <f>IFERROR(INDEX(REALDATA!$C$2:$C$1048576,MATCH(G79,REALDATA!$B$2:$B$1048576,0)),"001/RM")</f>
        <v>001/RM</v>
      </c>
      <c r="I79" s="28" t="s">
        <v>479</v>
      </c>
      <c r="J79" s="26" t="s">
        <v>387</v>
      </c>
      <c r="K79" s="28" t="s">
        <v>482</v>
      </c>
      <c r="L79" s="28"/>
      <c r="M79" s="28"/>
      <c r="N79" s="26"/>
      <c r="O79" s="27" t="str">
        <f t="shared" si="1"/>
        <v/>
      </c>
      <c r="P79" s="26"/>
    </row>
    <row r="80" spans="1:16" ht="15.95" customHeight="1" x14ac:dyDescent="0.25">
      <c r="A80" s="26">
        <v>67</v>
      </c>
      <c r="B80" s="30">
        <v>46091</v>
      </c>
      <c r="C80" s="32" t="s">
        <v>13</v>
      </c>
      <c r="D80" s="34"/>
      <c r="E80" s="36"/>
      <c r="F80" s="27">
        <v>0.19534000000000001</v>
      </c>
      <c r="G80" s="28" t="s">
        <v>389</v>
      </c>
      <c r="H80" s="26" t="str">
        <f>IFERROR(INDEX(REALDATA!$C$2:$C$1048576,MATCH(G80,REALDATA!$B$2:$B$1048576,0)),"125/FJ")</f>
        <v>125/FJ</v>
      </c>
      <c r="I80" s="28" t="s">
        <v>439</v>
      </c>
      <c r="J80" s="26" t="s">
        <v>387</v>
      </c>
      <c r="K80" s="28" t="s">
        <v>483</v>
      </c>
      <c r="L80" s="28"/>
      <c r="M80" s="28"/>
      <c r="N80" s="26"/>
      <c r="O80" s="27" t="str">
        <f t="shared" si="1"/>
        <v/>
      </c>
      <c r="P80" s="26"/>
    </row>
    <row r="81" spans="1:16" ht="15.95" customHeight="1" x14ac:dyDescent="0.25">
      <c r="A81" s="26">
        <v>68</v>
      </c>
      <c r="B81" s="30">
        <v>46091</v>
      </c>
      <c r="C81" s="32" t="s">
        <v>13</v>
      </c>
      <c r="D81" s="34"/>
      <c r="E81" s="36"/>
      <c r="F81" s="27">
        <v>0.450231132075472</v>
      </c>
      <c r="G81" s="28" t="s">
        <v>478</v>
      </c>
      <c r="H81" s="26" t="str">
        <f>IFERROR(INDEX(REALDATA!$C$2:$C$1048576,MATCH(G81,REALDATA!$B$2:$B$1048576,0)),"001/RM")</f>
        <v>001/RM</v>
      </c>
      <c r="I81" s="28" t="s">
        <v>479</v>
      </c>
      <c r="J81" s="26" t="s">
        <v>387</v>
      </c>
      <c r="K81" s="28" t="s">
        <v>484</v>
      </c>
      <c r="L81" s="28"/>
      <c r="M81" s="28"/>
      <c r="N81" s="26"/>
      <c r="O81" s="27" t="str">
        <f t="shared" si="1"/>
        <v/>
      </c>
      <c r="P81" s="26"/>
    </row>
    <row r="82" spans="1:16" ht="15.95" customHeight="1" x14ac:dyDescent="0.25">
      <c r="A82" s="26">
        <v>69</v>
      </c>
      <c r="B82" s="30">
        <v>46091</v>
      </c>
      <c r="C82" s="32" t="s">
        <v>13</v>
      </c>
      <c r="D82" s="34"/>
      <c r="E82" s="36"/>
      <c r="F82" s="27">
        <v>2.7013867924528302E-2</v>
      </c>
      <c r="G82" s="28" t="s">
        <v>481</v>
      </c>
      <c r="H82" s="26" t="str">
        <f>IFERROR(INDEX(REALDATA!$C$2:$C$1048576,MATCH(G82,REALDATA!$B$2:$B$1048576,0)),"001/RM")</f>
        <v>001/RM</v>
      </c>
      <c r="I82" s="28" t="s">
        <v>479</v>
      </c>
      <c r="J82" s="26" t="s">
        <v>387</v>
      </c>
      <c r="K82" s="28" t="s">
        <v>485</v>
      </c>
      <c r="L82" s="28"/>
      <c r="M82" s="28"/>
      <c r="N82" s="26"/>
      <c r="O82" s="27" t="str">
        <f t="shared" si="1"/>
        <v/>
      </c>
      <c r="P82" s="26"/>
    </row>
    <row r="83" spans="1:16" ht="15.95" customHeight="1" x14ac:dyDescent="0.25">
      <c r="A83" s="26">
        <v>70</v>
      </c>
      <c r="B83" s="30">
        <v>46092</v>
      </c>
      <c r="C83" s="32" t="s">
        <v>13</v>
      </c>
      <c r="D83" s="34"/>
      <c r="E83" s="36"/>
      <c r="F83" s="27">
        <v>0.152</v>
      </c>
      <c r="G83" s="28" t="s">
        <v>478</v>
      </c>
      <c r="H83" s="26" t="str">
        <f>IFERROR(INDEX(REALDATA!$C$2:$C$1048576,MATCH(G83,REALDATA!$B$2:$B$1048576,0)),"001/RM")</f>
        <v>001/RM</v>
      </c>
      <c r="I83" s="28" t="s">
        <v>479</v>
      </c>
      <c r="J83" s="26" t="s">
        <v>387</v>
      </c>
      <c r="K83" s="28" t="s">
        <v>486</v>
      </c>
      <c r="L83" s="28"/>
      <c r="M83" s="28"/>
      <c r="N83" s="26"/>
      <c r="O83" s="27" t="str">
        <f t="shared" si="1"/>
        <v/>
      </c>
      <c r="P83" s="26"/>
    </row>
    <row r="84" spans="1:16" ht="15.95" customHeight="1" x14ac:dyDescent="0.25">
      <c r="A84" s="26">
        <v>71</v>
      </c>
      <c r="B84" s="30">
        <v>46092</v>
      </c>
      <c r="C84" s="32" t="s">
        <v>13</v>
      </c>
      <c r="D84" s="34"/>
      <c r="E84" s="36"/>
      <c r="F84" s="27">
        <v>9.1199999999999996E-3</v>
      </c>
      <c r="G84" s="28" t="s">
        <v>481</v>
      </c>
      <c r="H84" s="26" t="str">
        <f>IFERROR(INDEX(REALDATA!$C$2:$C$1048576,MATCH(G84,REALDATA!$B$2:$B$1048576,0)),"001/RM")</f>
        <v>001/RM</v>
      </c>
      <c r="I84" s="28" t="s">
        <v>479</v>
      </c>
      <c r="J84" s="26" t="s">
        <v>387</v>
      </c>
      <c r="K84" s="28" t="s">
        <v>487</v>
      </c>
      <c r="L84" s="28"/>
      <c r="M84" s="28"/>
      <c r="N84" s="26"/>
      <c r="O84" s="27" t="str">
        <f t="shared" si="1"/>
        <v/>
      </c>
      <c r="P84" s="26"/>
    </row>
    <row r="85" spans="1:16" ht="15.95" customHeight="1" x14ac:dyDescent="0.25">
      <c r="A85" s="26">
        <v>72</v>
      </c>
      <c r="B85" s="30">
        <v>46093</v>
      </c>
      <c r="C85" s="32" t="s">
        <v>13</v>
      </c>
      <c r="D85" s="34"/>
      <c r="E85" s="36"/>
      <c r="F85" s="27">
        <v>0.15216981132075499</v>
      </c>
      <c r="G85" s="28" t="s">
        <v>478</v>
      </c>
      <c r="H85" s="26" t="str">
        <f>IFERROR(INDEX(REALDATA!$C$2:$C$1048576,MATCH(G85,REALDATA!$B$2:$B$1048576,0)),"001/RM")</f>
        <v>001/RM</v>
      </c>
      <c r="I85" s="28" t="s">
        <v>479</v>
      </c>
      <c r="J85" s="26" t="s">
        <v>387</v>
      </c>
      <c r="K85" s="28" t="s">
        <v>488</v>
      </c>
      <c r="L85" s="28"/>
      <c r="M85" s="28"/>
      <c r="N85" s="26"/>
      <c r="O85" s="27" t="str">
        <f t="shared" si="1"/>
        <v/>
      </c>
      <c r="P85" s="26"/>
    </row>
    <row r="86" spans="1:16" ht="15.95" customHeight="1" x14ac:dyDescent="0.25">
      <c r="A86" s="26">
        <v>73</v>
      </c>
      <c r="B86" s="30">
        <v>46093</v>
      </c>
      <c r="C86" s="32" t="s">
        <v>13</v>
      </c>
      <c r="D86" s="34"/>
      <c r="E86" s="36"/>
      <c r="F86" s="27">
        <v>9.1301886792452807E-3</v>
      </c>
      <c r="G86" s="28" t="s">
        <v>481</v>
      </c>
      <c r="H86" s="26" t="str">
        <f>IFERROR(INDEX(REALDATA!$C$2:$C$1048576,MATCH(G86,REALDATA!$B$2:$B$1048576,0)),"001/RM")</f>
        <v>001/RM</v>
      </c>
      <c r="I86" s="28" t="s">
        <v>479</v>
      </c>
      <c r="J86" s="26" t="s">
        <v>387</v>
      </c>
      <c r="K86" s="28" t="s">
        <v>489</v>
      </c>
      <c r="L86" s="28"/>
      <c r="M86" s="28"/>
      <c r="N86" s="26"/>
      <c r="O86" s="27" t="str">
        <f t="shared" si="1"/>
        <v/>
      </c>
      <c r="P86" s="26"/>
    </row>
    <row r="87" spans="1:16" ht="15.95" customHeight="1" x14ac:dyDescent="0.25">
      <c r="A87" s="26">
        <v>74</v>
      </c>
      <c r="B87" s="30">
        <v>46094</v>
      </c>
      <c r="C87" s="32" t="s">
        <v>13</v>
      </c>
      <c r="D87" s="34"/>
      <c r="E87" s="36"/>
      <c r="F87" s="27">
        <v>0.23616000000000001</v>
      </c>
      <c r="G87" s="28" t="s">
        <v>389</v>
      </c>
      <c r="H87" s="26" t="str">
        <f>IFERROR(INDEX(REALDATA!$C$2:$C$1048576,MATCH(G87,REALDATA!$B$2:$B$1048576,0)),"125/FJ")</f>
        <v>125/FJ</v>
      </c>
      <c r="I87" s="28" t="s">
        <v>403</v>
      </c>
      <c r="J87" s="26" t="s">
        <v>387</v>
      </c>
      <c r="K87" s="28" t="s">
        <v>490</v>
      </c>
      <c r="L87" s="28"/>
      <c r="M87" s="28"/>
      <c r="N87" s="26"/>
      <c r="O87" s="27" t="str">
        <f t="shared" si="1"/>
        <v/>
      </c>
      <c r="P87" s="26"/>
    </row>
    <row r="88" spans="1:16" ht="15.95" customHeight="1" x14ac:dyDescent="0.25">
      <c r="A88" s="26">
        <v>75</v>
      </c>
      <c r="B88" s="30">
        <v>46095</v>
      </c>
      <c r="C88" s="32" t="s">
        <v>13</v>
      </c>
      <c r="D88" s="34"/>
      <c r="E88" s="36"/>
      <c r="F88" s="27">
        <v>0.22059999999999999</v>
      </c>
      <c r="G88" s="28" t="s">
        <v>491</v>
      </c>
      <c r="H88" s="26" t="str">
        <f>IFERROR(INDEX(REALDATA!$C$2:$C$1048576,MATCH(G88,REALDATA!$B$2:$B$1048576,0)),"115/PA")</f>
        <v>115/PA</v>
      </c>
      <c r="I88" s="28" t="s">
        <v>492</v>
      </c>
      <c r="J88" s="26" t="s">
        <v>387</v>
      </c>
      <c r="K88" s="28" t="s">
        <v>493</v>
      </c>
      <c r="L88" s="28"/>
      <c r="M88" s="28"/>
      <c r="N88" s="26"/>
      <c r="O88" s="27" t="str">
        <f t="shared" si="1"/>
        <v/>
      </c>
      <c r="P88" s="26"/>
    </row>
    <row r="89" spans="1:16" ht="15.95" customHeight="1" x14ac:dyDescent="0.25">
      <c r="A89" s="26">
        <v>76</v>
      </c>
      <c r="B89" s="30">
        <v>46095</v>
      </c>
      <c r="C89" s="32" t="s">
        <v>13</v>
      </c>
      <c r="D89" s="34"/>
      <c r="E89" s="36"/>
      <c r="F89" s="27">
        <v>0.54239999999999999</v>
      </c>
      <c r="G89" s="28" t="s">
        <v>389</v>
      </c>
      <c r="H89" s="26" t="str">
        <f>IFERROR(INDEX(REALDATA!$C$2:$C$1048576,MATCH(G89,REALDATA!$B$2:$B$1048576,0)),"125/FJ")</f>
        <v>125/FJ</v>
      </c>
      <c r="I89" s="28" t="s">
        <v>474</v>
      </c>
      <c r="J89" s="26" t="s">
        <v>387</v>
      </c>
      <c r="K89" s="28" t="s">
        <v>494</v>
      </c>
      <c r="L89" s="28"/>
      <c r="M89" s="28"/>
      <c r="N89" s="26"/>
      <c r="O89" s="27" t="str">
        <f t="shared" si="1"/>
        <v/>
      </c>
      <c r="P89" s="26"/>
    </row>
    <row r="90" spans="1:16" ht="15.95" customHeight="1" x14ac:dyDescent="0.25">
      <c r="A90" s="26">
        <v>77</v>
      </c>
      <c r="B90" s="30">
        <v>46095</v>
      </c>
      <c r="C90" s="32" t="s">
        <v>13</v>
      </c>
      <c r="D90" s="34"/>
      <c r="E90" s="36"/>
      <c r="F90" s="27">
        <v>0.28009433962264202</v>
      </c>
      <c r="G90" s="28" t="s">
        <v>478</v>
      </c>
      <c r="H90" s="26" t="str">
        <f>IFERROR(INDEX(REALDATA!$C$2:$C$1048576,MATCH(G90,REALDATA!$B$2:$B$1048576,0)),"001/RM")</f>
        <v>001/RM</v>
      </c>
      <c r="I90" s="28" t="s">
        <v>479</v>
      </c>
      <c r="J90" s="26" t="s">
        <v>387</v>
      </c>
      <c r="K90" s="28" t="s">
        <v>495</v>
      </c>
      <c r="L90" s="28"/>
      <c r="M90" s="28"/>
      <c r="N90" s="26"/>
      <c r="O90" s="27" t="str">
        <f t="shared" si="1"/>
        <v/>
      </c>
      <c r="P90" s="26"/>
    </row>
    <row r="91" spans="1:16" ht="15.95" customHeight="1" x14ac:dyDescent="0.25">
      <c r="A91" s="26">
        <v>78</v>
      </c>
      <c r="B91" s="30">
        <v>46095</v>
      </c>
      <c r="C91" s="32" t="s">
        <v>13</v>
      </c>
      <c r="D91" s="34"/>
      <c r="E91" s="36"/>
      <c r="F91" s="27">
        <v>1.6805660377358499E-2</v>
      </c>
      <c r="G91" s="28" t="s">
        <v>481</v>
      </c>
      <c r="H91" s="26" t="str">
        <f>IFERROR(INDEX(REALDATA!$C$2:$C$1048576,MATCH(G91,REALDATA!$B$2:$B$1048576,0)),"001/RM")</f>
        <v>001/RM</v>
      </c>
      <c r="I91" s="28" t="s">
        <v>479</v>
      </c>
      <c r="J91" s="26" t="s">
        <v>387</v>
      </c>
      <c r="K91" s="28" t="s">
        <v>496</v>
      </c>
      <c r="L91" s="28"/>
      <c r="M91" s="28"/>
      <c r="N91" s="26"/>
      <c r="O91" s="27" t="str">
        <f t="shared" si="1"/>
        <v/>
      </c>
      <c r="P91" s="26"/>
    </row>
    <row r="92" spans="1:16" ht="15.95" customHeight="1" x14ac:dyDescent="0.25">
      <c r="A92" s="26">
        <v>79</v>
      </c>
      <c r="B92" s="30">
        <v>46095</v>
      </c>
      <c r="C92" s="32" t="s">
        <v>13</v>
      </c>
      <c r="D92" s="34"/>
      <c r="E92" s="36"/>
      <c r="F92" s="27">
        <v>0.14854000000000001</v>
      </c>
      <c r="G92" s="28" t="s">
        <v>389</v>
      </c>
      <c r="H92" s="26" t="str">
        <f>IFERROR(INDEX(REALDATA!$C$2:$C$1048576,MATCH(G92,REALDATA!$B$2:$B$1048576,0)),"125/FJ")</f>
        <v>125/FJ</v>
      </c>
      <c r="I92" s="28" t="s">
        <v>460</v>
      </c>
      <c r="J92" s="26" t="s">
        <v>387</v>
      </c>
      <c r="K92" s="28" t="s">
        <v>497</v>
      </c>
      <c r="L92" s="28"/>
      <c r="M92" s="28"/>
      <c r="N92" s="26"/>
      <c r="O92" s="27" t="str">
        <f t="shared" si="1"/>
        <v/>
      </c>
      <c r="P92" s="26"/>
    </row>
    <row r="93" spans="1:16" ht="15.95" customHeight="1" x14ac:dyDescent="0.25">
      <c r="A93" s="26">
        <v>80</v>
      </c>
      <c r="B93" s="30">
        <v>46107</v>
      </c>
      <c r="C93" s="32" t="s">
        <v>13</v>
      </c>
      <c r="D93" s="34"/>
      <c r="E93" s="36"/>
      <c r="F93" s="27">
        <v>5.7924999999999997E-2</v>
      </c>
      <c r="G93" s="28" t="s">
        <v>389</v>
      </c>
      <c r="H93" s="26" t="str">
        <f>IFERROR(INDEX(REALDATA!$C$2:$C$1048576,MATCH(G93,REALDATA!$B$2:$B$1048576,0)),"125/FJ")</f>
        <v>125/FJ</v>
      </c>
      <c r="I93" s="28" t="s">
        <v>406</v>
      </c>
      <c r="J93" s="26" t="s">
        <v>387</v>
      </c>
      <c r="K93" s="28" t="s">
        <v>498</v>
      </c>
      <c r="L93" s="28"/>
      <c r="M93" s="28"/>
      <c r="N93" s="26"/>
      <c r="O93" s="27" t="str">
        <f t="shared" si="1"/>
        <v/>
      </c>
      <c r="P93" s="26"/>
    </row>
    <row r="94" spans="1:16" ht="15.95" customHeight="1" x14ac:dyDescent="0.25">
      <c r="A94" s="26">
        <v>81</v>
      </c>
      <c r="B94" s="30">
        <v>46107</v>
      </c>
      <c r="C94" s="32" t="s">
        <v>13</v>
      </c>
      <c r="D94" s="34"/>
      <c r="E94" s="36"/>
      <c r="F94" s="27">
        <v>4.2000000000000003E-2</v>
      </c>
      <c r="G94" s="28" t="s">
        <v>446</v>
      </c>
      <c r="H94" s="26" t="str">
        <f>IFERROR(INDEX(REALDATA!$C$2:$C$1048576,MATCH(G94,REALDATA!$B$2:$B$1048576,0)),"041/TD")</f>
        <v>041/TD</v>
      </c>
      <c r="I94" s="28" t="s">
        <v>447</v>
      </c>
      <c r="J94" s="26" t="s">
        <v>387</v>
      </c>
      <c r="K94" s="28" t="s">
        <v>499</v>
      </c>
      <c r="L94" s="28"/>
      <c r="M94" s="28"/>
      <c r="N94" s="26"/>
      <c r="O94" s="27" t="str">
        <f t="shared" si="1"/>
        <v/>
      </c>
      <c r="P94" s="26"/>
    </row>
    <row r="95" spans="1:16" ht="15.95" customHeight="1" x14ac:dyDescent="0.25">
      <c r="A95" s="26">
        <v>82</v>
      </c>
      <c r="B95" s="30">
        <v>46107</v>
      </c>
      <c r="C95" s="32" t="s">
        <v>13</v>
      </c>
      <c r="D95" s="34"/>
      <c r="E95" s="36"/>
      <c r="F95" s="27">
        <v>0.30669999999999997</v>
      </c>
      <c r="G95" s="28" t="s">
        <v>491</v>
      </c>
      <c r="H95" s="26" t="str">
        <f>IFERROR(INDEX(REALDATA!$C$2:$C$1048576,MATCH(G95,REALDATA!$B$2:$B$1048576,0)),"115/PA")</f>
        <v>115/PA</v>
      </c>
      <c r="I95" s="28" t="s">
        <v>492</v>
      </c>
      <c r="J95" s="26" t="s">
        <v>387</v>
      </c>
      <c r="K95" s="28" t="s">
        <v>500</v>
      </c>
      <c r="L95" s="28"/>
      <c r="M95" s="28"/>
      <c r="N95" s="26"/>
      <c r="O95" s="27" t="str">
        <f t="shared" si="1"/>
        <v/>
      </c>
      <c r="P95" s="26"/>
    </row>
    <row r="96" spans="1:16" ht="15.95" customHeight="1" x14ac:dyDescent="0.25">
      <c r="A96" s="26">
        <v>83</v>
      </c>
      <c r="B96" s="30">
        <v>46107</v>
      </c>
      <c r="C96" s="32" t="s">
        <v>13</v>
      </c>
      <c r="D96" s="34"/>
      <c r="E96" s="36"/>
      <c r="F96" s="27">
        <v>6.7199999999999996E-2</v>
      </c>
      <c r="G96" s="28" t="s">
        <v>411</v>
      </c>
      <c r="H96" s="26" t="s">
        <v>411</v>
      </c>
      <c r="I96" s="28" t="s">
        <v>411</v>
      </c>
      <c r="J96" s="26" t="s">
        <v>411</v>
      </c>
      <c r="K96" s="28" t="s">
        <v>501</v>
      </c>
      <c r="L96" s="28"/>
      <c r="M96" s="28"/>
      <c r="N96" s="26"/>
      <c r="O96" s="27" t="str">
        <f t="shared" si="1"/>
        <v/>
      </c>
      <c r="P96" s="26"/>
    </row>
    <row r="97" spans="1:16" ht="15.95" customHeight="1" x14ac:dyDescent="0.25">
      <c r="A97" s="26">
        <v>84</v>
      </c>
      <c r="B97" s="30">
        <v>46110</v>
      </c>
      <c r="C97" s="32" t="s">
        <v>13</v>
      </c>
      <c r="D97" s="34"/>
      <c r="E97" s="36"/>
      <c r="F97" s="27">
        <v>0.48293000000000003</v>
      </c>
      <c r="G97" s="28" t="s">
        <v>389</v>
      </c>
      <c r="H97" s="26" t="str">
        <f>IFERROR(INDEX(REALDATA!$C$2:$C$1048576,MATCH(G97,REALDATA!$B$2:$B$1048576,0)),"125/FJ")</f>
        <v>125/FJ</v>
      </c>
      <c r="I97" s="28" t="s">
        <v>403</v>
      </c>
      <c r="J97" s="26" t="s">
        <v>387</v>
      </c>
      <c r="K97" s="28" t="s">
        <v>502</v>
      </c>
      <c r="L97" s="28"/>
      <c r="M97" s="28"/>
      <c r="N97" s="26"/>
      <c r="O97" s="27" t="str">
        <f t="shared" si="1"/>
        <v/>
      </c>
      <c r="P97" s="26"/>
    </row>
    <row r="98" spans="1:16" ht="15.95" customHeight="1" x14ac:dyDescent="0.25">
      <c r="A98" s="26">
        <v>85</v>
      </c>
      <c r="B98" s="30">
        <v>46110</v>
      </c>
      <c r="C98" s="32" t="s">
        <v>13</v>
      </c>
      <c r="D98" s="34"/>
      <c r="E98" s="36"/>
      <c r="F98" s="27">
        <v>0.61836000000000002</v>
      </c>
      <c r="G98" s="28" t="s">
        <v>491</v>
      </c>
      <c r="H98" s="26" t="str">
        <f>IFERROR(INDEX(REALDATA!$C$2:$C$1048576,MATCH(G98,REALDATA!$B$2:$B$1048576,0)),"115/PA")</f>
        <v>115/PA</v>
      </c>
      <c r="I98" s="28" t="s">
        <v>492</v>
      </c>
      <c r="J98" s="26" t="s">
        <v>387</v>
      </c>
      <c r="K98" s="28" t="s">
        <v>503</v>
      </c>
      <c r="L98" s="28"/>
      <c r="M98" s="28"/>
      <c r="N98" s="26"/>
      <c r="O98" s="27" t="str">
        <f t="shared" si="1"/>
        <v/>
      </c>
      <c r="P98" s="26"/>
    </row>
    <row r="99" spans="1:16" ht="15.95" customHeight="1" x14ac:dyDescent="0.25">
      <c r="A99" s="26">
        <v>86</v>
      </c>
      <c r="B99" s="30">
        <v>46113</v>
      </c>
      <c r="C99" s="32" t="s">
        <v>13</v>
      </c>
      <c r="D99" s="34"/>
      <c r="E99" s="36"/>
      <c r="F99" s="27">
        <v>0.84809999999999997</v>
      </c>
      <c r="G99" s="28" t="s">
        <v>491</v>
      </c>
      <c r="H99" s="26" t="str">
        <f>IFERROR(INDEX(REALDATA!$C$2:$C$1048576,MATCH(G99,REALDATA!$B$2:$B$1048576,0)),"115/PA")</f>
        <v>115/PA</v>
      </c>
      <c r="I99" s="28" t="s">
        <v>492</v>
      </c>
      <c r="J99" s="26" t="s">
        <v>387</v>
      </c>
      <c r="K99" s="28" t="s">
        <v>504</v>
      </c>
      <c r="L99" s="28"/>
      <c r="M99" s="28"/>
      <c r="N99" s="26"/>
      <c r="O99" s="27" t="str">
        <f t="shared" si="1"/>
        <v/>
      </c>
      <c r="P99" s="26"/>
    </row>
    <row r="100" spans="1:16" ht="15.95" customHeight="1" x14ac:dyDescent="0.25">
      <c r="A100" s="26">
        <v>87</v>
      </c>
      <c r="B100" s="30">
        <v>46118</v>
      </c>
      <c r="C100" s="32" t="s">
        <v>13</v>
      </c>
      <c r="D100" s="34"/>
      <c r="E100" s="36"/>
      <c r="F100" s="27">
        <v>0.71709500000000004</v>
      </c>
      <c r="G100" s="28" t="s">
        <v>505</v>
      </c>
      <c r="H100" s="26" t="str">
        <f>IFERROR(INDEX(REALDATA!$C$2:$C$1048576,MATCH(G100,REALDATA!$B$2:$B$1048576,0)),"125/FJ")</f>
        <v>125/FJ</v>
      </c>
      <c r="I100" s="28" t="s">
        <v>409</v>
      </c>
      <c r="J100" s="26" t="s">
        <v>387</v>
      </c>
      <c r="K100" s="28" t="s">
        <v>506</v>
      </c>
      <c r="L100" s="28"/>
      <c r="M100" s="28"/>
      <c r="N100" s="26"/>
      <c r="O100" s="27" t="str">
        <f t="shared" si="1"/>
        <v/>
      </c>
      <c r="P100" s="26"/>
    </row>
    <row r="101" spans="1:16" ht="15.95" customHeight="1" x14ac:dyDescent="0.25">
      <c r="A101" s="26">
        <v>88</v>
      </c>
      <c r="B101" s="30">
        <v>46118</v>
      </c>
      <c r="C101" s="32" t="s">
        <v>13</v>
      </c>
      <c r="D101" s="34"/>
      <c r="E101" s="36"/>
      <c r="F101" s="27">
        <v>0.40332800000000002</v>
      </c>
      <c r="G101" s="28" t="s">
        <v>505</v>
      </c>
      <c r="H101" s="26" t="str">
        <f>IFERROR(INDEX(REALDATA!$C$2:$C$1048576,MATCH(G101,REALDATA!$B$2:$B$1048576,0)),"125/FJ")</f>
        <v>125/FJ</v>
      </c>
      <c r="I101" s="28" t="s">
        <v>406</v>
      </c>
      <c r="J101" s="26" t="s">
        <v>387</v>
      </c>
      <c r="K101" s="28" t="s">
        <v>507</v>
      </c>
      <c r="L101" s="28"/>
      <c r="M101" s="28"/>
      <c r="N101" s="26"/>
      <c r="O101" s="27" t="str">
        <f t="shared" si="1"/>
        <v/>
      </c>
      <c r="P101" s="26"/>
    </row>
    <row r="102" spans="1:16" ht="15.95" customHeight="1" x14ac:dyDescent="0.25">
      <c r="A102" s="26">
        <v>89</v>
      </c>
      <c r="B102" s="30">
        <v>46121</v>
      </c>
      <c r="C102" s="32" t="s">
        <v>13</v>
      </c>
      <c r="D102" s="34"/>
      <c r="E102" s="36"/>
      <c r="F102" s="27">
        <v>0.87388500000000002</v>
      </c>
      <c r="G102" s="28" t="s">
        <v>505</v>
      </c>
      <c r="H102" s="26" t="str">
        <f>IFERROR(INDEX(REALDATA!$C$2:$C$1048576,MATCH(G102,REALDATA!$B$2:$B$1048576,0)),"125/FJ")</f>
        <v>125/FJ</v>
      </c>
      <c r="I102" s="28" t="s">
        <v>409</v>
      </c>
      <c r="J102" s="26" t="s">
        <v>387</v>
      </c>
      <c r="K102" s="28" t="s">
        <v>508</v>
      </c>
      <c r="L102" s="28"/>
      <c r="M102" s="28"/>
      <c r="N102" s="26"/>
      <c r="O102" s="27" t="str">
        <f t="shared" si="1"/>
        <v/>
      </c>
      <c r="P102" s="26"/>
    </row>
    <row r="103" spans="1:16" ht="15.95" customHeight="1" x14ac:dyDescent="0.25">
      <c r="A103" s="26">
        <v>90</v>
      </c>
      <c r="B103" s="30">
        <v>46121</v>
      </c>
      <c r="C103" s="32" t="s">
        <v>13</v>
      </c>
      <c r="D103" s="34"/>
      <c r="E103" s="36"/>
      <c r="F103" s="27">
        <v>0.53307000000000004</v>
      </c>
      <c r="G103" s="28" t="s">
        <v>505</v>
      </c>
      <c r="H103" s="26" t="str">
        <f>IFERROR(INDEX(REALDATA!$C$2:$C$1048576,MATCH(G103,REALDATA!$B$2:$B$1048576,0)),"125/FJ")</f>
        <v>125/FJ</v>
      </c>
      <c r="I103" s="28" t="s">
        <v>406</v>
      </c>
      <c r="J103" s="26" t="s">
        <v>387</v>
      </c>
      <c r="K103" s="28" t="s">
        <v>509</v>
      </c>
      <c r="L103" s="28"/>
      <c r="M103" s="28"/>
      <c r="N103" s="26"/>
      <c r="O103" s="27" t="str">
        <f t="shared" si="1"/>
        <v/>
      </c>
      <c r="P103" s="26"/>
    </row>
    <row r="104" spans="1:16" ht="15.95" customHeight="1" x14ac:dyDescent="0.25">
      <c r="A104" s="26">
        <v>91</v>
      </c>
      <c r="B104" s="30">
        <v>46121</v>
      </c>
      <c r="C104" s="32" t="s">
        <v>13</v>
      </c>
      <c r="D104" s="34"/>
      <c r="E104" s="36"/>
      <c r="F104" s="27">
        <v>1.20468</v>
      </c>
      <c r="G104" s="28" t="s">
        <v>491</v>
      </c>
      <c r="H104" s="26" t="str">
        <f>IFERROR(INDEX(REALDATA!$C$2:$C$1048576,MATCH(G104,REALDATA!$B$2:$B$1048576,0)),"115/PA")</f>
        <v>115/PA</v>
      </c>
      <c r="I104" s="28" t="s">
        <v>492</v>
      </c>
      <c r="J104" s="26" t="s">
        <v>387</v>
      </c>
      <c r="K104" s="28" t="s">
        <v>510</v>
      </c>
      <c r="L104" s="28"/>
      <c r="M104" s="28"/>
      <c r="N104" s="26"/>
      <c r="O104" s="27" t="str">
        <f t="shared" si="1"/>
        <v/>
      </c>
      <c r="P104" s="26"/>
    </row>
    <row r="105" spans="1:16" ht="15.95" customHeight="1" x14ac:dyDescent="0.25">
      <c r="A105" s="26">
        <v>92</v>
      </c>
      <c r="B105" s="30">
        <v>46121</v>
      </c>
      <c r="C105" s="32" t="s">
        <v>13</v>
      </c>
      <c r="D105" s="34"/>
      <c r="E105" s="36"/>
      <c r="F105" s="27">
        <v>0.218207547169811</v>
      </c>
      <c r="G105" s="28" t="s">
        <v>478</v>
      </c>
      <c r="H105" s="26" t="str">
        <f>IFERROR(INDEX(REALDATA!$C$2:$C$1048576,MATCH(G105,REALDATA!$B$2:$B$1048576,0)),"001/RM")</f>
        <v>001/RM</v>
      </c>
      <c r="I105" s="28" t="s">
        <v>479</v>
      </c>
      <c r="J105" s="26" t="s">
        <v>387</v>
      </c>
      <c r="K105" s="28" t="s">
        <v>511</v>
      </c>
      <c r="L105" s="28"/>
      <c r="M105" s="28"/>
      <c r="N105" s="26"/>
      <c r="O105" s="27" t="str">
        <f t="shared" si="1"/>
        <v/>
      </c>
      <c r="P105" s="26"/>
    </row>
    <row r="106" spans="1:16" ht="15.95" customHeight="1" x14ac:dyDescent="0.25">
      <c r="A106" s="26">
        <v>93</v>
      </c>
      <c r="B106" s="30">
        <v>46121</v>
      </c>
      <c r="C106" s="32" t="s">
        <v>13</v>
      </c>
      <c r="D106" s="34"/>
      <c r="E106" s="36"/>
      <c r="F106" s="27">
        <v>1.30924528301887E-2</v>
      </c>
      <c r="G106" s="28" t="s">
        <v>481</v>
      </c>
      <c r="H106" s="26" t="str">
        <f>IFERROR(INDEX(REALDATA!$C$2:$C$1048576,MATCH(G106,REALDATA!$B$2:$B$1048576,0)),"001/RM")</f>
        <v>001/RM</v>
      </c>
      <c r="I106" s="28" t="s">
        <v>479</v>
      </c>
      <c r="J106" s="26" t="s">
        <v>387</v>
      </c>
      <c r="K106" s="28" t="s">
        <v>512</v>
      </c>
      <c r="L106" s="28"/>
      <c r="M106" s="28"/>
      <c r="N106" s="26"/>
      <c r="O106" s="27" t="str">
        <f t="shared" si="1"/>
        <v/>
      </c>
      <c r="P106" s="26"/>
    </row>
    <row r="107" spans="1:16" ht="15.95" customHeight="1" x14ac:dyDescent="0.25">
      <c r="A107" s="26">
        <v>94</v>
      </c>
      <c r="B107" s="30">
        <v>46122</v>
      </c>
      <c r="C107" s="32" t="s">
        <v>13</v>
      </c>
      <c r="D107" s="34"/>
      <c r="E107" s="36"/>
      <c r="F107" s="27">
        <v>0.14430000000000001</v>
      </c>
      <c r="G107" s="28" t="s">
        <v>411</v>
      </c>
      <c r="H107" s="26" t="s">
        <v>411</v>
      </c>
      <c r="I107" s="28" t="s">
        <v>411</v>
      </c>
      <c r="J107" s="26" t="s">
        <v>411</v>
      </c>
      <c r="K107" s="28" t="s">
        <v>513</v>
      </c>
      <c r="L107" s="28"/>
      <c r="M107" s="28"/>
      <c r="N107" s="26"/>
      <c r="O107" s="27" t="str">
        <f t="shared" si="1"/>
        <v/>
      </c>
      <c r="P107" s="26"/>
    </row>
    <row r="108" spans="1:16" ht="15.95" customHeight="1" x14ac:dyDescent="0.25">
      <c r="A108" s="26">
        <v>95</v>
      </c>
      <c r="B108" s="30">
        <v>46126</v>
      </c>
      <c r="C108" s="32" t="s">
        <v>13</v>
      </c>
      <c r="D108" s="34"/>
      <c r="E108" s="36"/>
      <c r="F108" s="27">
        <v>0.24479999999999999</v>
      </c>
      <c r="G108" s="28" t="s">
        <v>505</v>
      </c>
      <c r="H108" s="26" t="str">
        <f>IFERROR(INDEX(REALDATA!$C$2:$C$1048576,MATCH(G108,REALDATA!$B$2:$B$1048576,0)),"125/FJ")</f>
        <v>125/FJ</v>
      </c>
      <c r="I108" s="28" t="s">
        <v>406</v>
      </c>
      <c r="J108" s="26" t="s">
        <v>387</v>
      </c>
      <c r="K108" s="28" t="s">
        <v>514</v>
      </c>
      <c r="L108" s="28"/>
      <c r="M108" s="28"/>
      <c r="N108" s="26"/>
      <c r="O108" s="27" t="str">
        <f t="shared" si="1"/>
        <v/>
      </c>
      <c r="P108" s="26"/>
    </row>
    <row r="109" spans="1:16" ht="15.95" customHeight="1" x14ac:dyDescent="0.25">
      <c r="A109" s="26">
        <v>96</v>
      </c>
      <c r="B109" s="30">
        <v>46126</v>
      </c>
      <c r="C109" s="32" t="s">
        <v>13</v>
      </c>
      <c r="D109" s="34"/>
      <c r="E109" s="36"/>
      <c r="F109" s="27">
        <v>0.14147999999999999</v>
      </c>
      <c r="G109" s="28" t="s">
        <v>411</v>
      </c>
      <c r="H109" s="26" t="s">
        <v>411</v>
      </c>
      <c r="I109" s="28" t="s">
        <v>415</v>
      </c>
      <c r="J109" s="26" t="s">
        <v>411</v>
      </c>
      <c r="K109" s="28" t="s">
        <v>515</v>
      </c>
      <c r="L109" s="28"/>
      <c r="M109" s="28"/>
      <c r="N109" s="26"/>
      <c r="O109" s="27" t="str">
        <f t="shared" si="1"/>
        <v/>
      </c>
      <c r="P109" s="26"/>
    </row>
    <row r="110" spans="1:16" ht="15.95" customHeight="1" x14ac:dyDescent="0.25">
      <c r="A110" s="26">
        <v>97</v>
      </c>
      <c r="B110" s="30">
        <v>46127</v>
      </c>
      <c r="C110" s="32" t="s">
        <v>13</v>
      </c>
      <c r="D110" s="34"/>
      <c r="E110" s="36"/>
      <c r="F110" s="27">
        <v>0.66162299999999996</v>
      </c>
      <c r="G110" s="28" t="s">
        <v>491</v>
      </c>
      <c r="H110" s="26" t="str">
        <f>IFERROR(INDEX(REALDATA!$C$2:$C$1048576,MATCH(G110,REALDATA!$B$2:$B$1048576,0)),"115/PA")</f>
        <v>115/PA</v>
      </c>
      <c r="I110" s="28" t="s">
        <v>492</v>
      </c>
      <c r="J110" s="26" t="s">
        <v>387</v>
      </c>
      <c r="K110" s="28" t="s">
        <v>516</v>
      </c>
      <c r="L110" s="28"/>
      <c r="M110" s="28"/>
      <c r="N110" s="26"/>
      <c r="O110" s="27" t="str">
        <f t="shared" si="1"/>
        <v/>
      </c>
      <c r="P110" s="26"/>
    </row>
    <row r="111" spans="1:16" ht="15.95" customHeight="1" x14ac:dyDescent="0.25">
      <c r="A111" s="26">
        <v>98</v>
      </c>
      <c r="B111" s="30">
        <v>46130</v>
      </c>
      <c r="C111" s="32" t="s">
        <v>13</v>
      </c>
      <c r="D111" s="34"/>
      <c r="E111" s="36"/>
      <c r="F111" s="27">
        <v>0.32458500000000001</v>
      </c>
      <c r="G111" s="28" t="s">
        <v>491</v>
      </c>
      <c r="H111" s="26" t="str">
        <f>IFERROR(INDEX(REALDATA!$C$2:$C$1048576,MATCH(G111,REALDATA!$B$2:$B$1048576,0)),"115/PA")</f>
        <v>115/PA</v>
      </c>
      <c r="I111" s="28" t="s">
        <v>492</v>
      </c>
      <c r="J111" s="26" t="s">
        <v>387</v>
      </c>
      <c r="K111" s="28" t="s">
        <v>517</v>
      </c>
      <c r="L111" s="28"/>
      <c r="M111" s="28"/>
      <c r="N111" s="26"/>
      <c r="O111" s="27" t="str">
        <f t="shared" si="1"/>
        <v/>
      </c>
      <c r="P111" s="26"/>
    </row>
    <row r="112" spans="1:16" ht="15.95" customHeight="1" x14ac:dyDescent="0.25">
      <c r="A112" s="26">
        <v>99</v>
      </c>
      <c r="B112" s="30">
        <v>46133</v>
      </c>
      <c r="C112" s="32" t="s">
        <v>13</v>
      </c>
      <c r="D112" s="34"/>
      <c r="E112" s="36"/>
      <c r="F112" s="27">
        <v>0.14818500000000001</v>
      </c>
      <c r="G112" s="28" t="s">
        <v>505</v>
      </c>
      <c r="H112" s="26" t="str">
        <f>IFERROR(INDEX(REALDATA!$C$2:$C$1048576,MATCH(G112,REALDATA!$B$2:$B$1048576,0)),"125/FJ")</f>
        <v>125/FJ</v>
      </c>
      <c r="I112" s="28" t="s">
        <v>409</v>
      </c>
      <c r="J112" s="26" t="s">
        <v>387</v>
      </c>
      <c r="K112" s="28" t="s">
        <v>518</v>
      </c>
      <c r="L112" s="28"/>
      <c r="M112" s="28"/>
      <c r="N112" s="26"/>
      <c r="O112" s="27" t="str">
        <f t="shared" si="1"/>
        <v/>
      </c>
      <c r="P112" s="26"/>
    </row>
    <row r="113" spans="1:16" ht="15.95" customHeight="1" x14ac:dyDescent="0.25">
      <c r="A113" s="26">
        <v>100</v>
      </c>
      <c r="B113" s="30">
        <v>46135</v>
      </c>
      <c r="C113" s="32" t="s">
        <v>13</v>
      </c>
      <c r="D113" s="34"/>
      <c r="E113" s="36"/>
      <c r="F113" s="27">
        <v>0.85732799999999998</v>
      </c>
      <c r="G113" s="28" t="s">
        <v>491</v>
      </c>
      <c r="H113" s="26" t="str">
        <f>IFERROR(INDEX(REALDATA!$C$2:$C$1048576,MATCH(G113,REALDATA!$B$2:$B$1048576,0)),"115/PA")</f>
        <v>115/PA</v>
      </c>
      <c r="I113" s="28" t="s">
        <v>492</v>
      </c>
      <c r="J113" s="26" t="s">
        <v>387</v>
      </c>
      <c r="K113" s="28" t="s">
        <v>519</v>
      </c>
      <c r="L113" s="28"/>
      <c r="M113" s="28"/>
      <c r="N113" s="26"/>
      <c r="O113" s="27" t="str">
        <f t="shared" si="1"/>
        <v/>
      </c>
      <c r="P113" s="26"/>
    </row>
    <row r="114" spans="1:16" ht="15.95" customHeight="1" x14ac:dyDescent="0.25">
      <c r="A114" s="26">
        <v>101</v>
      </c>
      <c r="B114" s="30">
        <v>46136</v>
      </c>
      <c r="C114" s="32" t="s">
        <v>13</v>
      </c>
      <c r="D114" s="34"/>
      <c r="E114" s="36"/>
      <c r="F114" s="27">
        <v>0.59157000000000004</v>
      </c>
      <c r="G114" s="28" t="s">
        <v>505</v>
      </c>
      <c r="H114" s="26" t="str">
        <f>IFERROR(INDEX(REALDATA!$C$2:$C$1048576,MATCH(G114,REALDATA!$B$2:$B$1048576,0)),"125/FJ")</f>
        <v>125/FJ</v>
      </c>
      <c r="I114" s="28" t="s">
        <v>409</v>
      </c>
      <c r="J114" s="26" t="s">
        <v>387</v>
      </c>
      <c r="K114" s="28" t="s">
        <v>520</v>
      </c>
      <c r="L114" s="28"/>
      <c r="M114" s="28"/>
      <c r="N114" s="26"/>
      <c r="O114" s="27" t="str">
        <f t="shared" si="1"/>
        <v/>
      </c>
      <c r="P114" s="26"/>
    </row>
    <row r="115" spans="1:16" ht="15.95" customHeight="1" x14ac:dyDescent="0.25">
      <c r="A115" s="26">
        <v>102</v>
      </c>
      <c r="B115" s="30">
        <v>46141</v>
      </c>
      <c r="C115" s="32" t="s">
        <v>13</v>
      </c>
      <c r="D115" s="34"/>
      <c r="E115" s="36"/>
      <c r="F115" s="27">
        <v>0.61829999999999996</v>
      </c>
      <c r="G115" s="28" t="s">
        <v>521</v>
      </c>
      <c r="H115" s="26" t="str">
        <f>IFERROR(INDEX(REALDATA!$C$2:$C$1048576,MATCH(G115,REALDATA!$B$2:$B$1048576,0)),"125/FJ")</f>
        <v>125/FJ</v>
      </c>
      <c r="I115" s="28" t="s">
        <v>386</v>
      </c>
      <c r="J115" s="26" t="s">
        <v>387</v>
      </c>
      <c r="K115" s="28" t="s">
        <v>522</v>
      </c>
      <c r="L115" s="28"/>
      <c r="M115" s="28"/>
      <c r="N115" s="26"/>
      <c r="O115" s="27" t="str">
        <f t="shared" si="1"/>
        <v/>
      </c>
      <c r="P115" s="26"/>
    </row>
    <row r="116" spans="1:16" ht="15.95" customHeight="1" x14ac:dyDescent="0.25">
      <c r="A116" s="26">
        <v>103</v>
      </c>
      <c r="B116" s="30">
        <v>46142</v>
      </c>
      <c r="C116" s="32" t="s">
        <v>13</v>
      </c>
      <c r="D116" s="34"/>
      <c r="E116" s="36"/>
      <c r="F116" s="27">
        <v>0.32840000000000003</v>
      </c>
      <c r="G116" s="28" t="s">
        <v>523</v>
      </c>
      <c r="H116" s="26" t="str">
        <f>IFERROR(INDEX(REALDATA!$C$2:$C$1048576,MATCH(G116,REALDATA!$B$2:$B$1048576,0)),"015/TA")</f>
        <v>015/TA</v>
      </c>
      <c r="I116" s="28" t="s">
        <v>524</v>
      </c>
      <c r="J116" s="26" t="s">
        <v>387</v>
      </c>
      <c r="K116" s="28" t="s">
        <v>525</v>
      </c>
      <c r="L116" s="28"/>
      <c r="M116" s="28"/>
      <c r="N116" s="26"/>
      <c r="O116" s="27" t="str">
        <f t="shared" si="1"/>
        <v/>
      </c>
      <c r="P116" s="26"/>
    </row>
    <row r="117" spans="1:16" ht="15.95" customHeight="1" x14ac:dyDescent="0.25">
      <c r="A117" s="26">
        <v>104</v>
      </c>
      <c r="B117" s="30">
        <v>46144</v>
      </c>
      <c r="C117" s="32" t="s">
        <v>13</v>
      </c>
      <c r="D117" s="34"/>
      <c r="E117" s="36"/>
      <c r="F117" s="27">
        <v>1.4037599999999999</v>
      </c>
      <c r="G117" s="28" t="s">
        <v>521</v>
      </c>
      <c r="H117" s="26" t="str">
        <f>IFERROR(INDEX(REALDATA!$C$2:$C$1048576,MATCH(G117,REALDATA!$B$2:$B$1048576,0)),"125/FJ")</f>
        <v>125/FJ</v>
      </c>
      <c r="I117" s="28" t="s">
        <v>409</v>
      </c>
      <c r="J117" s="26" t="s">
        <v>387</v>
      </c>
      <c r="K117" s="28" t="s">
        <v>526</v>
      </c>
      <c r="L117" s="28"/>
      <c r="M117" s="28"/>
      <c r="N117" s="26"/>
      <c r="O117" s="27" t="str">
        <f t="shared" si="1"/>
        <v/>
      </c>
      <c r="P117" s="26"/>
    </row>
    <row r="118" spans="1:16" ht="15.95" customHeight="1" x14ac:dyDescent="0.25">
      <c r="A118" s="26">
        <v>105</v>
      </c>
      <c r="B118" s="30">
        <v>46146</v>
      </c>
      <c r="C118" s="32" t="s">
        <v>13</v>
      </c>
      <c r="D118" s="34"/>
      <c r="E118" s="36"/>
      <c r="F118" s="27">
        <v>0.30982500000000002</v>
      </c>
      <c r="G118" s="28" t="s">
        <v>521</v>
      </c>
      <c r="H118" s="26" t="str">
        <f>IFERROR(INDEX(REALDATA!$C$2:$C$1048576,MATCH(G118,REALDATA!$B$2:$B$1048576,0)),"125/FJ")</f>
        <v>125/FJ</v>
      </c>
      <c r="I118" s="28" t="s">
        <v>409</v>
      </c>
      <c r="J118" s="26" t="s">
        <v>387</v>
      </c>
      <c r="K118" s="28" t="s">
        <v>527</v>
      </c>
      <c r="L118" s="28"/>
      <c r="M118" s="28"/>
      <c r="N118" s="26"/>
      <c r="O118" s="27" t="str">
        <f t="shared" si="1"/>
        <v/>
      </c>
      <c r="P118" s="26"/>
    </row>
    <row r="119" spans="1:16" ht="15.95" customHeight="1" x14ac:dyDescent="0.25">
      <c r="A119" s="26">
        <v>106</v>
      </c>
      <c r="B119" s="30">
        <v>46146</v>
      </c>
      <c r="C119" s="32" t="s">
        <v>13</v>
      </c>
      <c r="D119" s="34"/>
      <c r="E119" s="36"/>
      <c r="F119" s="27">
        <v>0.29604999999999998</v>
      </c>
      <c r="G119" s="28" t="s">
        <v>521</v>
      </c>
      <c r="H119" s="26" t="str">
        <f>IFERROR(INDEX(REALDATA!$C$2:$C$1048576,MATCH(G119,REALDATA!$B$2:$B$1048576,0)),"125/FJ")</f>
        <v>125/FJ</v>
      </c>
      <c r="I119" s="28" t="s">
        <v>406</v>
      </c>
      <c r="J119" s="26" t="s">
        <v>387</v>
      </c>
      <c r="K119" s="28" t="s">
        <v>528</v>
      </c>
      <c r="L119" s="28"/>
      <c r="M119" s="28"/>
      <c r="N119" s="26"/>
      <c r="O119" s="27" t="str">
        <f t="shared" si="1"/>
        <v/>
      </c>
      <c r="P119" s="26"/>
    </row>
    <row r="120" spans="1:16" ht="15.95" customHeight="1" x14ac:dyDescent="0.25">
      <c r="A120" s="26">
        <v>107</v>
      </c>
      <c r="B120" s="30">
        <v>46149</v>
      </c>
      <c r="C120" s="32" t="s">
        <v>13</v>
      </c>
      <c r="D120" s="34"/>
      <c r="E120" s="36"/>
      <c r="F120" s="27">
        <v>0.58221000000000001</v>
      </c>
      <c r="G120" s="28" t="s">
        <v>521</v>
      </c>
      <c r="H120" s="26" t="str">
        <f>IFERROR(INDEX(REALDATA!$C$2:$C$1048576,MATCH(G120,REALDATA!$B$2:$B$1048576,0)),"125/FJ")</f>
        <v>125/FJ</v>
      </c>
      <c r="I120" s="28" t="s">
        <v>409</v>
      </c>
      <c r="J120" s="26" t="s">
        <v>387</v>
      </c>
      <c r="K120" s="28" t="s">
        <v>529</v>
      </c>
      <c r="L120" s="28"/>
      <c r="M120" s="28"/>
      <c r="N120" s="26"/>
      <c r="O120" s="27" t="str">
        <f t="shared" si="1"/>
        <v/>
      </c>
      <c r="P120" s="26"/>
    </row>
    <row r="121" spans="1:16" ht="15.95" customHeight="1" x14ac:dyDescent="0.25">
      <c r="A121" s="26">
        <v>108</v>
      </c>
      <c r="B121" s="30">
        <v>46153</v>
      </c>
      <c r="C121" s="32" t="s">
        <v>13</v>
      </c>
      <c r="D121" s="34"/>
      <c r="E121" s="36"/>
      <c r="F121" s="27">
        <v>0.36547000000000002</v>
      </c>
      <c r="G121" s="28" t="s">
        <v>521</v>
      </c>
      <c r="H121" s="26" t="str">
        <f>IFERROR(INDEX(REALDATA!$C$2:$C$1048576,MATCH(G121,REALDATA!$B$2:$B$1048576,0)),"125/FJ")</f>
        <v>125/FJ</v>
      </c>
      <c r="I121" s="28" t="s">
        <v>409</v>
      </c>
      <c r="J121" s="26" t="s">
        <v>387</v>
      </c>
      <c r="K121" s="28" t="s">
        <v>530</v>
      </c>
      <c r="L121" s="28"/>
      <c r="M121" s="28"/>
      <c r="N121" s="26"/>
      <c r="O121" s="27" t="str">
        <f t="shared" si="1"/>
        <v/>
      </c>
      <c r="P121" s="26"/>
    </row>
    <row r="122" spans="1:16" ht="15.95" customHeight="1" x14ac:dyDescent="0.25">
      <c r="A122" s="26">
        <v>109</v>
      </c>
      <c r="B122" s="30">
        <v>46153</v>
      </c>
      <c r="C122" s="32" t="s">
        <v>13</v>
      </c>
      <c r="D122" s="34"/>
      <c r="E122" s="36"/>
      <c r="F122" s="27">
        <v>1.88575</v>
      </c>
      <c r="G122" s="28" t="s">
        <v>523</v>
      </c>
      <c r="H122" s="26" t="str">
        <f>IFERROR(INDEX(REALDATA!$C$2:$C$1048576,MATCH(G122,REALDATA!$B$2:$B$1048576,0)),"015/TA")</f>
        <v>015/TA</v>
      </c>
      <c r="I122" s="28" t="s">
        <v>524</v>
      </c>
      <c r="J122" s="26" t="s">
        <v>387</v>
      </c>
      <c r="K122" s="28" t="s">
        <v>531</v>
      </c>
      <c r="L122" s="28"/>
      <c r="M122" s="28"/>
      <c r="N122" s="26"/>
      <c r="O122" s="27" t="str">
        <f t="shared" si="1"/>
        <v/>
      </c>
      <c r="P122" s="26"/>
    </row>
    <row r="123" spans="1:16" ht="15.95" customHeight="1" x14ac:dyDescent="0.25">
      <c r="A123" s="26">
        <v>110</v>
      </c>
      <c r="B123" s="30">
        <v>46160</v>
      </c>
      <c r="C123" s="32" t="s">
        <v>13</v>
      </c>
      <c r="D123" s="34"/>
      <c r="E123" s="36"/>
      <c r="F123" s="27">
        <v>0.78569999999999995</v>
      </c>
      <c r="G123" s="28" t="s">
        <v>521</v>
      </c>
      <c r="H123" s="26" t="str">
        <f>IFERROR(INDEX(REALDATA!$C$2:$C$1048576,MATCH(G123,REALDATA!$B$2:$B$1048576,0)),"125/FJ")</f>
        <v>125/FJ</v>
      </c>
      <c r="I123" s="28" t="s">
        <v>409</v>
      </c>
      <c r="J123" s="26" t="s">
        <v>387</v>
      </c>
      <c r="K123" s="28" t="s">
        <v>532</v>
      </c>
      <c r="L123" s="28"/>
      <c r="M123" s="28"/>
      <c r="N123" s="26"/>
      <c r="O123" s="27" t="str">
        <f t="shared" si="1"/>
        <v/>
      </c>
      <c r="P123" s="26"/>
    </row>
    <row r="124" spans="1:16" ht="15.95" customHeight="1" x14ac:dyDescent="0.25">
      <c r="A124" s="26">
        <v>111</v>
      </c>
      <c r="B124" s="30">
        <v>46160</v>
      </c>
      <c r="C124" s="32" t="s">
        <v>13</v>
      </c>
      <c r="D124" s="34"/>
      <c r="E124" s="36"/>
      <c r="F124" s="27">
        <v>9.0899999999999995E-2</v>
      </c>
      <c r="G124" s="28" t="s">
        <v>533</v>
      </c>
      <c r="H124" s="26" t="str">
        <f>IFERROR(INDEX(REALDATA!$C$2:$C$1048576,MATCH(G124,REALDATA!$B$2:$B$1048576,0)),"012/DA")</f>
        <v>012/DA</v>
      </c>
      <c r="I124" s="28" t="s">
        <v>534</v>
      </c>
      <c r="J124" s="26" t="s">
        <v>387</v>
      </c>
      <c r="K124" s="28" t="s">
        <v>535</v>
      </c>
      <c r="L124" s="28"/>
      <c r="M124" s="28"/>
      <c r="N124" s="26"/>
      <c r="O124" s="27" t="str">
        <f t="shared" si="1"/>
        <v/>
      </c>
      <c r="P124" s="26"/>
    </row>
    <row r="125" spans="1:16" ht="15.95" customHeight="1" x14ac:dyDescent="0.25">
      <c r="A125" s="26">
        <v>112</v>
      </c>
      <c r="B125" s="30">
        <v>46161</v>
      </c>
      <c r="C125" s="32" t="s">
        <v>13</v>
      </c>
      <c r="D125" s="34"/>
      <c r="E125" s="36"/>
      <c r="F125" s="27">
        <v>0.43465500000000001</v>
      </c>
      <c r="G125" s="28" t="s">
        <v>533</v>
      </c>
      <c r="H125" s="26" t="str">
        <f>IFERROR(INDEX(REALDATA!$C$2:$C$1048576,MATCH(G125,REALDATA!$B$2:$B$1048576,0)),"012/DA")</f>
        <v>012/DA</v>
      </c>
      <c r="I125" s="28" t="s">
        <v>534</v>
      </c>
      <c r="J125" s="26" t="s">
        <v>387</v>
      </c>
      <c r="K125" s="28" t="s">
        <v>536</v>
      </c>
      <c r="L125" s="28"/>
      <c r="M125" s="28"/>
      <c r="N125" s="26"/>
      <c r="O125" s="27" t="str">
        <f t="shared" si="1"/>
        <v/>
      </c>
      <c r="P125" s="26"/>
    </row>
    <row r="126" spans="1:16" ht="15.95" customHeight="1" x14ac:dyDescent="0.25">
      <c r="A126" s="26">
        <v>113</v>
      </c>
      <c r="B126" s="30">
        <v>46162</v>
      </c>
      <c r="C126" s="32" t="s">
        <v>13</v>
      </c>
      <c r="D126" s="34"/>
      <c r="E126" s="36"/>
      <c r="F126" s="27">
        <v>0.1154</v>
      </c>
      <c r="G126" s="28" t="s">
        <v>523</v>
      </c>
      <c r="H126" s="26" t="str">
        <f>IFERROR(INDEX(REALDATA!$C$2:$C$1048576,MATCH(G126,REALDATA!$B$2:$B$1048576,0)),"015/TA")</f>
        <v>015/TA</v>
      </c>
      <c r="I126" s="28" t="s">
        <v>524</v>
      </c>
      <c r="J126" s="26" t="s">
        <v>387</v>
      </c>
      <c r="K126" s="28" t="s">
        <v>537</v>
      </c>
      <c r="L126" s="28"/>
      <c r="M126" s="28"/>
      <c r="N126" s="26"/>
      <c r="O126" s="27" t="str">
        <f t="shared" si="1"/>
        <v/>
      </c>
      <c r="P126" s="26"/>
    </row>
    <row r="127" spans="1:16" ht="15.95" customHeight="1" x14ac:dyDescent="0.25">
      <c r="A127" s="26">
        <v>114</v>
      </c>
      <c r="B127" s="30">
        <v>46162</v>
      </c>
      <c r="C127" s="32" t="s">
        <v>13</v>
      </c>
      <c r="D127" s="34"/>
      <c r="E127" s="36"/>
      <c r="F127" s="27">
        <v>0.30499999999999999</v>
      </c>
      <c r="G127" s="28" t="s">
        <v>533</v>
      </c>
      <c r="H127" s="26" t="str">
        <f>IFERROR(INDEX(REALDATA!$C$2:$C$1048576,MATCH(G127,REALDATA!$B$2:$B$1048576,0)),"012/DA")</f>
        <v>012/DA</v>
      </c>
      <c r="I127" s="28" t="s">
        <v>538</v>
      </c>
      <c r="J127" s="26" t="s">
        <v>387</v>
      </c>
      <c r="K127" s="28" t="s">
        <v>539</v>
      </c>
      <c r="L127" s="28"/>
      <c r="M127" s="28"/>
      <c r="N127" s="26"/>
      <c r="O127" s="27" t="str">
        <f t="shared" si="1"/>
        <v/>
      </c>
      <c r="P127" s="26"/>
    </row>
    <row r="128" spans="1:16" ht="15.95" customHeight="1" x14ac:dyDescent="0.25">
      <c r="A128" s="26">
        <v>115</v>
      </c>
      <c r="B128" s="30">
        <v>46168</v>
      </c>
      <c r="C128" s="32" t="s">
        <v>13</v>
      </c>
      <c r="D128" s="34"/>
      <c r="E128" s="36"/>
      <c r="F128" s="27">
        <v>0.2898</v>
      </c>
      <c r="G128" s="28" t="s">
        <v>533</v>
      </c>
      <c r="H128" s="26" t="str">
        <f>IFERROR(INDEX(REALDATA!$C$2:$C$1048576,MATCH(G128,REALDATA!$B$2:$B$1048576,0)),"012/DA")</f>
        <v>012/DA</v>
      </c>
      <c r="I128" s="28" t="s">
        <v>538</v>
      </c>
      <c r="J128" s="26" t="s">
        <v>387</v>
      </c>
      <c r="K128" s="28" t="s">
        <v>540</v>
      </c>
      <c r="L128" s="28"/>
      <c r="M128" s="28"/>
      <c r="N128" s="26"/>
      <c r="O128" s="27" t="str">
        <f t="shared" si="1"/>
        <v/>
      </c>
      <c r="P128" s="26"/>
    </row>
    <row r="129" spans="1:16" ht="15.95" customHeight="1" x14ac:dyDescent="0.25">
      <c r="A129" s="26">
        <v>116</v>
      </c>
      <c r="B129" s="30">
        <v>46168</v>
      </c>
      <c r="C129" s="32" t="s">
        <v>13</v>
      </c>
      <c r="D129" s="34"/>
      <c r="E129" s="36"/>
      <c r="F129" s="27">
        <v>0.24154500000000001</v>
      </c>
      <c r="G129" s="28" t="s">
        <v>533</v>
      </c>
      <c r="H129" s="26" t="str">
        <f>IFERROR(INDEX(REALDATA!$C$2:$C$1048576,MATCH(G129,REALDATA!$B$2:$B$1048576,0)),"012/DA")</f>
        <v>012/DA</v>
      </c>
      <c r="I129" s="28" t="s">
        <v>541</v>
      </c>
      <c r="J129" s="26" t="s">
        <v>387</v>
      </c>
      <c r="K129" s="28" t="s">
        <v>542</v>
      </c>
      <c r="L129" s="28"/>
      <c r="M129" s="28"/>
      <c r="N129" s="26"/>
      <c r="O129" s="27" t="str">
        <f t="shared" si="1"/>
        <v/>
      </c>
      <c r="P129" s="26"/>
    </row>
    <row r="130" spans="1:16" ht="15.95" customHeight="1" x14ac:dyDescent="0.25">
      <c r="A130" s="26">
        <v>117</v>
      </c>
      <c r="B130" s="30">
        <v>46168</v>
      </c>
      <c r="C130" s="32" t="s">
        <v>13</v>
      </c>
      <c r="D130" s="34"/>
      <c r="E130" s="36"/>
      <c r="F130" s="27">
        <v>0.26404</v>
      </c>
      <c r="G130" s="28" t="s">
        <v>533</v>
      </c>
      <c r="H130" s="26" t="str">
        <f>IFERROR(INDEX(REALDATA!$C$2:$C$1048576,MATCH(G130,REALDATA!$B$2:$B$1048576,0)),"012/DA")</f>
        <v>012/DA</v>
      </c>
      <c r="I130" s="28" t="s">
        <v>543</v>
      </c>
      <c r="J130" s="26" t="s">
        <v>387</v>
      </c>
      <c r="K130" s="28" t="s">
        <v>544</v>
      </c>
      <c r="L130" s="28"/>
      <c r="M130" s="28"/>
      <c r="N130" s="26"/>
      <c r="O130" s="27" t="str">
        <f t="shared" si="1"/>
        <v/>
      </c>
      <c r="P130" s="26"/>
    </row>
    <row r="131" spans="1:16" ht="15.95" customHeight="1" x14ac:dyDescent="0.25">
      <c r="A131" s="26">
        <v>118</v>
      </c>
      <c r="B131" s="30">
        <v>46168</v>
      </c>
      <c r="C131" s="32" t="s">
        <v>13</v>
      </c>
      <c r="D131" s="34"/>
      <c r="E131" s="36"/>
      <c r="F131" s="27">
        <v>0.222275</v>
      </c>
      <c r="G131" s="28" t="s">
        <v>533</v>
      </c>
      <c r="H131" s="26" t="str">
        <f>IFERROR(INDEX(REALDATA!$C$2:$C$1048576,MATCH(G131,REALDATA!$B$2:$B$1048576,0)),"012/DA")</f>
        <v>012/DA</v>
      </c>
      <c r="I131" s="28" t="s">
        <v>545</v>
      </c>
      <c r="J131" s="26" t="s">
        <v>387</v>
      </c>
      <c r="K131" s="28" t="s">
        <v>546</v>
      </c>
      <c r="L131" s="28"/>
      <c r="M131" s="28"/>
      <c r="N131" s="26"/>
      <c r="O131" s="27" t="str">
        <f t="shared" si="1"/>
        <v/>
      </c>
      <c r="P131" s="26"/>
    </row>
    <row r="132" spans="1:16" ht="15.95" customHeight="1" x14ac:dyDescent="0.25">
      <c r="A132" s="26">
        <v>119</v>
      </c>
      <c r="B132" s="30">
        <v>46170</v>
      </c>
      <c r="C132" s="32" t="s">
        <v>13</v>
      </c>
      <c r="D132" s="34"/>
      <c r="E132" s="36"/>
      <c r="F132" s="27">
        <v>0.15390000000000001</v>
      </c>
      <c r="G132" s="28" t="s">
        <v>533</v>
      </c>
      <c r="H132" s="26" t="str">
        <f>IFERROR(INDEX(REALDATA!$C$2:$C$1048576,MATCH(G132,REALDATA!$B$2:$B$1048576,0)),"012/DA")</f>
        <v>012/DA</v>
      </c>
      <c r="I132" s="28" t="s">
        <v>538</v>
      </c>
      <c r="J132" s="26" t="s">
        <v>387</v>
      </c>
      <c r="K132" s="28" t="s">
        <v>547</v>
      </c>
      <c r="L132" s="28"/>
      <c r="M132" s="28"/>
      <c r="N132" s="26"/>
      <c r="O132" s="27" t="str">
        <f t="shared" si="1"/>
        <v/>
      </c>
      <c r="P132" s="26"/>
    </row>
    <row r="133" spans="1:16" ht="15.95" customHeight="1" x14ac:dyDescent="0.25">
      <c r="A133" s="26">
        <v>120</v>
      </c>
      <c r="B133" s="30">
        <v>46172</v>
      </c>
      <c r="C133" s="32" t="s">
        <v>13</v>
      </c>
      <c r="D133" s="34"/>
      <c r="E133" s="36"/>
      <c r="F133" s="27">
        <v>6.5799999999999997E-2</v>
      </c>
      <c r="G133" s="28" t="s">
        <v>533</v>
      </c>
      <c r="H133" s="26" t="str">
        <f>IFERROR(INDEX(REALDATA!$C$2:$C$1048576,MATCH(G133,REALDATA!$B$2:$B$1048576,0)),"012/DA")</f>
        <v>012/DA</v>
      </c>
      <c r="I133" s="28" t="s">
        <v>534</v>
      </c>
      <c r="J133" s="26" t="s">
        <v>387</v>
      </c>
      <c r="K133" s="28" t="s">
        <v>548</v>
      </c>
      <c r="L133" s="28"/>
      <c r="M133" s="28"/>
      <c r="N133" s="26"/>
      <c r="O133" s="27" t="str">
        <f t="shared" si="1"/>
        <v/>
      </c>
      <c r="P133" s="26"/>
    </row>
    <row r="134" spans="1:16" ht="15.95" customHeight="1" x14ac:dyDescent="0.25">
      <c r="A134" s="26">
        <v>121</v>
      </c>
      <c r="B134" s="30">
        <v>46172</v>
      </c>
      <c r="C134" s="32" t="s">
        <v>13</v>
      </c>
      <c r="D134" s="34"/>
      <c r="E134" s="36"/>
      <c r="F134" s="27">
        <v>0.40815000000000001</v>
      </c>
      <c r="G134" s="28" t="s">
        <v>533</v>
      </c>
      <c r="H134" s="26" t="str">
        <f>IFERROR(INDEX(REALDATA!$C$2:$C$1048576,MATCH(G134,REALDATA!$B$2:$B$1048576,0)),"012/DA")</f>
        <v>012/DA</v>
      </c>
      <c r="I134" s="28" t="s">
        <v>545</v>
      </c>
      <c r="J134" s="26" t="s">
        <v>387</v>
      </c>
      <c r="K134" s="28" t="s">
        <v>549</v>
      </c>
      <c r="L134" s="28"/>
      <c r="M134" s="28"/>
      <c r="N134" s="26"/>
      <c r="O134" s="27" t="str">
        <f t="shared" si="1"/>
        <v/>
      </c>
      <c r="P134" s="26"/>
    </row>
    <row r="135" spans="1:16" ht="15.95" customHeight="1" x14ac:dyDescent="0.25">
      <c r="A135" s="26">
        <v>122</v>
      </c>
      <c r="B135" s="30">
        <v>46177</v>
      </c>
      <c r="C135" s="32" t="s">
        <v>13</v>
      </c>
      <c r="D135" s="34"/>
      <c r="E135" s="36"/>
      <c r="F135" s="27">
        <v>0.7389</v>
      </c>
      <c r="G135" s="28" t="s">
        <v>550</v>
      </c>
      <c r="H135" s="26" t="str">
        <f>IFERROR(INDEX(REALDATA!$C$2:$C$1048576,MATCH(G135,REALDATA!$B$2:$B$1048576,0)),"079/IL")</f>
        <v>079/IL</v>
      </c>
      <c r="I135" s="28" t="s">
        <v>551</v>
      </c>
      <c r="J135" s="26" t="s">
        <v>387</v>
      </c>
      <c r="K135" s="28" t="s">
        <v>552</v>
      </c>
      <c r="L135" s="28"/>
      <c r="M135" s="28"/>
      <c r="N135" s="26"/>
      <c r="O135" s="27" t="str">
        <f t="shared" si="1"/>
        <v/>
      </c>
      <c r="P135" s="26"/>
    </row>
    <row r="136" spans="1:16" ht="15.95" customHeight="1" x14ac:dyDescent="0.25">
      <c r="A136" s="26">
        <v>123</v>
      </c>
      <c r="B136" s="30">
        <v>46177</v>
      </c>
      <c r="C136" s="32" t="s">
        <v>13</v>
      </c>
      <c r="D136" s="34"/>
      <c r="E136" s="36"/>
      <c r="F136" s="27">
        <v>1.2834049999999999</v>
      </c>
      <c r="G136" s="28" t="s">
        <v>533</v>
      </c>
      <c r="H136" s="26" t="str">
        <f>IFERROR(INDEX(REALDATA!$C$2:$C$1048576,MATCH(G136,REALDATA!$B$2:$B$1048576,0)),"012/DA")</f>
        <v>012/DA</v>
      </c>
      <c r="I136" s="28" t="s">
        <v>553</v>
      </c>
      <c r="J136" s="26" t="s">
        <v>387</v>
      </c>
      <c r="K136" s="28" t="s">
        <v>554</v>
      </c>
      <c r="L136" s="28"/>
      <c r="M136" s="28"/>
      <c r="N136" s="26"/>
      <c r="O136" s="27" t="str">
        <f t="shared" si="1"/>
        <v/>
      </c>
      <c r="P136" s="26"/>
    </row>
    <row r="137" spans="1:16" ht="15.95" customHeight="1" x14ac:dyDescent="0.25">
      <c r="A137" s="26">
        <v>124</v>
      </c>
      <c r="B137" s="30">
        <v>46177</v>
      </c>
      <c r="C137" s="32" t="s">
        <v>13</v>
      </c>
      <c r="D137" s="34"/>
      <c r="E137" s="36"/>
      <c r="F137" s="27">
        <v>0.27921000000000001</v>
      </c>
      <c r="G137" s="28" t="s">
        <v>533</v>
      </c>
      <c r="H137" s="26" t="str">
        <f>IFERROR(INDEX(REALDATA!$C$2:$C$1048576,MATCH(G137,REALDATA!$B$2:$B$1048576,0)),"012/DA")</f>
        <v>012/DA</v>
      </c>
      <c r="I137" s="28" t="s">
        <v>401</v>
      </c>
      <c r="J137" s="26" t="s">
        <v>387</v>
      </c>
      <c r="K137" s="28" t="s">
        <v>555</v>
      </c>
      <c r="L137" s="28"/>
      <c r="M137" s="28"/>
      <c r="N137" s="26"/>
      <c r="O137" s="27" t="str">
        <f t="shared" si="1"/>
        <v/>
      </c>
      <c r="P137" s="26"/>
    </row>
    <row r="138" spans="1:16" ht="15.95" customHeight="1" x14ac:dyDescent="0.25">
      <c r="A138" s="26">
        <v>125</v>
      </c>
      <c r="B138" s="30">
        <v>46183</v>
      </c>
      <c r="C138" s="32" t="s">
        <v>13</v>
      </c>
      <c r="D138" s="34"/>
      <c r="E138" s="36"/>
      <c r="F138" s="27">
        <v>0.26782</v>
      </c>
      <c r="G138" s="28" t="s">
        <v>533</v>
      </c>
      <c r="H138" s="26" t="str">
        <f>IFERROR(INDEX(REALDATA!$C$2:$C$1048576,MATCH(G138,REALDATA!$B$2:$B$1048576,0)),"012/DA")</f>
        <v>012/DA</v>
      </c>
      <c r="I138" s="28" t="s">
        <v>534</v>
      </c>
      <c r="J138" s="26" t="s">
        <v>387</v>
      </c>
      <c r="K138" s="28" t="s">
        <v>556</v>
      </c>
      <c r="L138" s="28"/>
      <c r="M138" s="28"/>
      <c r="N138" s="26"/>
      <c r="O138" s="27" t="str">
        <f t="shared" si="1"/>
        <v/>
      </c>
      <c r="P138" s="26"/>
    </row>
    <row r="139" spans="1:16" ht="15.95" customHeight="1" x14ac:dyDescent="0.25">
      <c r="A139" s="26">
        <v>126</v>
      </c>
      <c r="B139" s="30">
        <v>46183</v>
      </c>
      <c r="C139" s="32" t="s">
        <v>13</v>
      </c>
      <c r="D139" s="34"/>
      <c r="E139" s="36"/>
      <c r="F139" s="27">
        <v>1.09491</v>
      </c>
      <c r="G139" s="28" t="s">
        <v>533</v>
      </c>
      <c r="H139" s="26" t="str">
        <f>IFERROR(INDEX(REALDATA!$C$2:$C$1048576,MATCH(G139,REALDATA!$B$2:$B$1048576,0)),"012/DA")</f>
        <v>012/DA</v>
      </c>
      <c r="I139" s="28" t="s">
        <v>557</v>
      </c>
      <c r="J139" s="26" t="s">
        <v>387</v>
      </c>
      <c r="K139" s="28" t="s">
        <v>558</v>
      </c>
      <c r="L139" s="28"/>
      <c r="M139" s="28"/>
      <c r="N139" s="26"/>
      <c r="O139" s="27" t="str">
        <f t="shared" si="1"/>
        <v/>
      </c>
      <c r="P139" s="26"/>
    </row>
    <row r="140" spans="1:16" ht="15.95" customHeight="1" x14ac:dyDescent="0.25">
      <c r="A140" s="26">
        <v>127</v>
      </c>
      <c r="B140" s="30">
        <v>46183</v>
      </c>
      <c r="C140" s="32" t="s">
        <v>13</v>
      </c>
      <c r="D140" s="34"/>
      <c r="E140" s="36"/>
      <c r="F140" s="27">
        <v>0.33839999999999998</v>
      </c>
      <c r="G140" s="28" t="s">
        <v>559</v>
      </c>
      <c r="H140" s="26" t="str">
        <f>IFERROR(INDEX(REALDATA!$C$2:$C$1048576,MATCH(G140,REALDATA!$B$2:$B$1048576,0)),"135/GO")</f>
        <v>135/GO</v>
      </c>
      <c r="I140" s="28" t="s">
        <v>406</v>
      </c>
      <c r="J140" s="26" t="s">
        <v>387</v>
      </c>
      <c r="K140" s="28" t="s">
        <v>560</v>
      </c>
      <c r="L140" s="28"/>
      <c r="M140" s="28"/>
      <c r="N140" s="26"/>
      <c r="O140" s="27" t="str">
        <f t="shared" si="1"/>
        <v/>
      </c>
      <c r="P140" s="26"/>
    </row>
    <row r="141" spans="1:16" ht="15.95" customHeight="1" x14ac:dyDescent="0.25">
      <c r="A141" s="26">
        <v>128</v>
      </c>
      <c r="B141" s="30">
        <v>46183</v>
      </c>
      <c r="C141" s="32" t="s">
        <v>13</v>
      </c>
      <c r="D141" s="34"/>
      <c r="E141" s="36"/>
      <c r="F141" s="27">
        <v>3.7161300000000002</v>
      </c>
      <c r="G141" s="28" t="s">
        <v>559</v>
      </c>
      <c r="H141" s="26" t="str">
        <f>IFERROR(INDEX(REALDATA!$C$2:$C$1048576,MATCH(G141,REALDATA!$B$2:$B$1048576,0)),"135/GO")</f>
        <v>135/GO</v>
      </c>
      <c r="I141" s="28" t="s">
        <v>561</v>
      </c>
      <c r="J141" s="26" t="s">
        <v>387</v>
      </c>
      <c r="K141" s="28" t="s">
        <v>562</v>
      </c>
      <c r="L141" s="28"/>
      <c r="M141" s="28"/>
      <c r="N141" s="26"/>
      <c r="O141" s="27" t="str">
        <f t="shared" si="1"/>
        <v/>
      </c>
      <c r="P141" s="26"/>
    </row>
    <row r="142" spans="1:16" ht="15.95" customHeight="1" x14ac:dyDescent="0.25">
      <c r="A142" s="26">
        <v>129</v>
      </c>
      <c r="B142" s="30">
        <v>46185</v>
      </c>
      <c r="C142" s="32" t="s">
        <v>13</v>
      </c>
      <c r="D142" s="34"/>
      <c r="E142" s="36"/>
      <c r="F142" s="27">
        <v>0.275895</v>
      </c>
      <c r="G142" s="28" t="s">
        <v>559</v>
      </c>
      <c r="H142" s="26" t="str">
        <f>IFERROR(INDEX(REALDATA!$C$2:$C$1048576,MATCH(G142,REALDATA!$B$2:$B$1048576,0)),"135/GO")</f>
        <v>135/GO</v>
      </c>
      <c r="I142" s="28" t="s">
        <v>406</v>
      </c>
      <c r="J142" s="26" t="s">
        <v>387</v>
      </c>
      <c r="K142" s="28" t="s">
        <v>563</v>
      </c>
      <c r="L142" s="28"/>
      <c r="M142" s="28"/>
      <c r="N142" s="26"/>
      <c r="O142" s="27" t="str">
        <f t="shared" ref="O142:O205" si="2">IF(AND(L142="Adjustment",N142="",P142&lt;&gt;"Explained"),F142+SUMIFS($F$14:$F$5084,$N$14:$N$5084,A142,$L$14:$L$5084,"Adjustment"),"")</f>
        <v/>
      </c>
      <c r="P142" s="26"/>
    </row>
    <row r="143" spans="1:16" ht="15.95" customHeight="1" x14ac:dyDescent="0.25">
      <c r="A143" s="26">
        <v>130</v>
      </c>
      <c r="B143" s="30">
        <v>46185</v>
      </c>
      <c r="C143" s="32" t="s">
        <v>13</v>
      </c>
      <c r="D143" s="34"/>
      <c r="E143" s="36"/>
      <c r="F143" s="27">
        <v>0.68478000000000006</v>
      </c>
      <c r="G143" s="28" t="s">
        <v>559</v>
      </c>
      <c r="H143" s="26" t="str">
        <f>IFERROR(INDEX(REALDATA!$C$2:$C$1048576,MATCH(G143,REALDATA!$B$2:$B$1048576,0)),"135/GO")</f>
        <v>135/GO</v>
      </c>
      <c r="I143" s="28" t="s">
        <v>561</v>
      </c>
      <c r="J143" s="26" t="s">
        <v>387</v>
      </c>
      <c r="K143" s="28" t="s">
        <v>564</v>
      </c>
      <c r="L143" s="28"/>
      <c r="M143" s="28"/>
      <c r="N143" s="26"/>
      <c r="O143" s="27" t="str">
        <f t="shared" si="2"/>
        <v/>
      </c>
      <c r="P143" s="26"/>
    </row>
    <row r="144" spans="1:16" ht="15.95" customHeight="1" x14ac:dyDescent="0.25">
      <c r="A144" s="26">
        <v>131</v>
      </c>
      <c r="B144" s="30">
        <v>46188</v>
      </c>
      <c r="C144" s="32" t="s">
        <v>13</v>
      </c>
      <c r="D144" s="34"/>
      <c r="E144" s="36"/>
      <c r="F144" s="27">
        <v>0.36400500000000002</v>
      </c>
      <c r="G144" s="28" t="s">
        <v>559</v>
      </c>
      <c r="H144" s="26" t="str">
        <f>IFERROR(INDEX(REALDATA!$C$2:$C$1048576,MATCH(G144,REALDATA!$B$2:$B$1048576,0)),"135/GO")</f>
        <v>135/GO</v>
      </c>
      <c r="I144" s="28" t="s">
        <v>565</v>
      </c>
      <c r="J144" s="26" t="s">
        <v>387</v>
      </c>
      <c r="K144" s="28" t="s">
        <v>566</v>
      </c>
      <c r="L144" s="28"/>
      <c r="M144" s="28"/>
      <c r="N144" s="26"/>
      <c r="O144" s="27" t="str">
        <f t="shared" si="2"/>
        <v/>
      </c>
      <c r="P144" s="26"/>
    </row>
    <row r="145" spans="1:16" ht="15.95" customHeight="1" x14ac:dyDescent="0.25">
      <c r="A145" s="26">
        <v>132</v>
      </c>
      <c r="B145" s="30">
        <v>46188</v>
      </c>
      <c r="C145" s="32" t="s">
        <v>13</v>
      </c>
      <c r="D145" s="34"/>
      <c r="E145" s="36"/>
      <c r="F145" s="27">
        <v>0.45269999999999999</v>
      </c>
      <c r="G145" s="28" t="s">
        <v>559</v>
      </c>
      <c r="H145" s="26" t="str">
        <f>IFERROR(INDEX(REALDATA!$C$2:$C$1048576,MATCH(G145,REALDATA!$B$2:$B$1048576,0)),"135/GO")</f>
        <v>135/GO</v>
      </c>
      <c r="I145" s="28" t="s">
        <v>406</v>
      </c>
      <c r="J145" s="26" t="s">
        <v>387</v>
      </c>
      <c r="K145" s="28" t="s">
        <v>567</v>
      </c>
      <c r="L145" s="28"/>
      <c r="M145" s="28"/>
      <c r="N145" s="26"/>
      <c r="O145" s="27" t="str">
        <f t="shared" si="2"/>
        <v/>
      </c>
      <c r="P145" s="26"/>
    </row>
    <row r="146" spans="1:16" ht="15.95" customHeight="1" x14ac:dyDescent="0.25">
      <c r="A146" s="26">
        <v>133</v>
      </c>
      <c r="B146" s="30">
        <v>46188</v>
      </c>
      <c r="C146" s="32" t="s">
        <v>13</v>
      </c>
      <c r="D146" s="34"/>
      <c r="E146" s="36"/>
      <c r="F146" s="27">
        <v>6.1600000000000002E-2</v>
      </c>
      <c r="G146" s="28" t="s">
        <v>559</v>
      </c>
      <c r="H146" s="26" t="str">
        <f>IFERROR(INDEX(REALDATA!$C$2:$C$1048576,MATCH(G146,REALDATA!$B$2:$B$1048576,0)),"135/GO")</f>
        <v>135/GO</v>
      </c>
      <c r="I146" s="28" t="s">
        <v>561</v>
      </c>
      <c r="J146" s="26" t="s">
        <v>387</v>
      </c>
      <c r="K146" s="28" t="s">
        <v>568</v>
      </c>
      <c r="L146" s="28"/>
      <c r="M146" s="28"/>
      <c r="N146" s="26"/>
      <c r="O146" s="27" t="str">
        <f t="shared" si="2"/>
        <v/>
      </c>
      <c r="P146" s="26"/>
    </row>
    <row r="147" spans="1:16" ht="15.95" customHeight="1" x14ac:dyDescent="0.25">
      <c r="A147" s="26">
        <v>134</v>
      </c>
      <c r="B147" s="30">
        <v>46188</v>
      </c>
      <c r="C147" s="32" t="s">
        <v>13</v>
      </c>
      <c r="D147" s="34"/>
      <c r="E147" s="36"/>
      <c r="F147" s="27">
        <v>1.1034600000000001</v>
      </c>
      <c r="G147" s="28" t="s">
        <v>559</v>
      </c>
      <c r="H147" s="26" t="str">
        <f>IFERROR(INDEX(REALDATA!$C$2:$C$1048576,MATCH(G147,REALDATA!$B$2:$B$1048576,0)),"135/GO")</f>
        <v>135/GO</v>
      </c>
      <c r="I147" s="28" t="s">
        <v>569</v>
      </c>
      <c r="J147" s="26" t="s">
        <v>387</v>
      </c>
      <c r="K147" s="28" t="s">
        <v>570</v>
      </c>
      <c r="L147" s="28"/>
      <c r="M147" s="28"/>
      <c r="N147" s="26"/>
      <c r="O147" s="27" t="str">
        <f t="shared" si="2"/>
        <v/>
      </c>
      <c r="P147" s="26"/>
    </row>
    <row r="148" spans="1:16" ht="15.95" customHeight="1" x14ac:dyDescent="0.25">
      <c r="A148" s="26">
        <v>135</v>
      </c>
      <c r="B148" s="30">
        <v>46190</v>
      </c>
      <c r="C148" s="32" t="s">
        <v>13</v>
      </c>
      <c r="D148" s="34"/>
      <c r="E148" s="36"/>
      <c r="F148" s="27">
        <v>6.6600000000000006E-2</v>
      </c>
      <c r="G148" s="28" t="s">
        <v>411</v>
      </c>
      <c r="H148" s="26" t="s">
        <v>411</v>
      </c>
      <c r="I148" s="28" t="s">
        <v>415</v>
      </c>
      <c r="J148" s="26" t="s">
        <v>411</v>
      </c>
      <c r="K148" s="28" t="s">
        <v>571</v>
      </c>
      <c r="L148" s="28"/>
      <c r="M148" s="28"/>
      <c r="N148" s="26"/>
      <c r="O148" s="27" t="str">
        <f t="shared" si="2"/>
        <v/>
      </c>
      <c r="P148" s="26"/>
    </row>
    <row r="149" spans="1:16" ht="15.95" customHeight="1" x14ac:dyDescent="0.25">
      <c r="A149" s="26">
        <v>136</v>
      </c>
      <c r="B149" s="30">
        <v>46192</v>
      </c>
      <c r="C149" s="32" t="s">
        <v>13</v>
      </c>
      <c r="D149" s="34"/>
      <c r="E149" s="36"/>
      <c r="F149" s="27">
        <v>0.68512499999999998</v>
      </c>
      <c r="G149" s="28" t="s">
        <v>559</v>
      </c>
      <c r="H149" s="26" t="str">
        <f>IFERROR(INDEX(REALDATA!$C$2:$C$1048576,MATCH(G149,REALDATA!$B$2:$B$1048576,0)),"135/GO")</f>
        <v>135/GO</v>
      </c>
      <c r="I149" s="28" t="s">
        <v>565</v>
      </c>
      <c r="J149" s="26" t="s">
        <v>387</v>
      </c>
      <c r="K149" s="28" t="s">
        <v>572</v>
      </c>
      <c r="L149" s="28"/>
      <c r="M149" s="28"/>
      <c r="N149" s="26"/>
      <c r="O149" s="27" t="str">
        <f t="shared" si="2"/>
        <v/>
      </c>
      <c r="P149" s="26"/>
    </row>
    <row r="150" spans="1:16" ht="15.95" customHeight="1" x14ac:dyDescent="0.25">
      <c r="A150" s="26">
        <v>137</v>
      </c>
      <c r="B150" s="30">
        <v>46192</v>
      </c>
      <c r="C150" s="32" t="s">
        <v>13</v>
      </c>
      <c r="D150" s="34"/>
      <c r="E150" s="36"/>
      <c r="F150" s="27">
        <v>0.66752999999999996</v>
      </c>
      <c r="G150" s="28" t="s">
        <v>559</v>
      </c>
      <c r="H150" s="26" t="str">
        <f>IFERROR(INDEX(REALDATA!$C$2:$C$1048576,MATCH(G150,REALDATA!$B$2:$B$1048576,0)),"135/GO")</f>
        <v>135/GO</v>
      </c>
      <c r="I150" s="28" t="s">
        <v>573</v>
      </c>
      <c r="J150" s="26" t="s">
        <v>387</v>
      </c>
      <c r="K150" s="28" t="s">
        <v>574</v>
      </c>
      <c r="L150" s="28"/>
      <c r="M150" s="28"/>
      <c r="N150" s="26"/>
      <c r="O150" s="27" t="str">
        <f t="shared" si="2"/>
        <v/>
      </c>
      <c r="P150" s="26"/>
    </row>
    <row r="151" spans="1:16" ht="15.95" customHeight="1" x14ac:dyDescent="0.25">
      <c r="A151" s="26">
        <v>138</v>
      </c>
      <c r="B151" s="30">
        <v>46192</v>
      </c>
      <c r="C151" s="32" t="s">
        <v>13</v>
      </c>
      <c r="D151" s="34"/>
      <c r="E151" s="36"/>
      <c r="F151" s="27">
        <v>0.18618000000000001</v>
      </c>
      <c r="G151" s="28" t="s">
        <v>559</v>
      </c>
      <c r="H151" s="26" t="str">
        <f>IFERROR(INDEX(REALDATA!$C$2:$C$1048576,MATCH(G151,REALDATA!$B$2:$B$1048576,0)),"135/GO")</f>
        <v>135/GO</v>
      </c>
      <c r="I151" s="28" t="s">
        <v>569</v>
      </c>
      <c r="J151" s="26" t="s">
        <v>387</v>
      </c>
      <c r="K151" s="28" t="s">
        <v>575</v>
      </c>
      <c r="L151" s="28"/>
      <c r="M151" s="28"/>
      <c r="N151" s="26"/>
      <c r="O151" s="27" t="str">
        <f t="shared" si="2"/>
        <v/>
      </c>
      <c r="P151" s="26"/>
    </row>
    <row r="152" spans="1:16" ht="15.95" customHeight="1" x14ac:dyDescent="0.25">
      <c r="A152" s="26">
        <v>139</v>
      </c>
      <c r="B152" s="30">
        <v>46192</v>
      </c>
      <c r="C152" s="32" t="s">
        <v>13</v>
      </c>
      <c r="D152" s="34"/>
      <c r="E152" s="36"/>
      <c r="F152" s="27">
        <v>0.30573</v>
      </c>
      <c r="G152" s="28" t="s">
        <v>576</v>
      </c>
      <c r="H152" s="26" t="str">
        <f>IFERROR(INDEX(REALDATA!$C$2:$C$1048576,MATCH(G152,REALDATA!$B$2:$B$1048576,0)),"083/FO")</f>
        <v>083/FO</v>
      </c>
      <c r="I152" s="28" t="s">
        <v>409</v>
      </c>
      <c r="J152" s="26" t="s">
        <v>387</v>
      </c>
      <c r="K152" s="28" t="s">
        <v>577</v>
      </c>
      <c r="L152" s="28"/>
      <c r="M152" s="28"/>
      <c r="N152" s="26"/>
      <c r="O152" s="27" t="str">
        <f t="shared" si="2"/>
        <v/>
      </c>
      <c r="P152" s="26"/>
    </row>
    <row r="153" spans="1:16" ht="15.95" customHeight="1" x14ac:dyDescent="0.25">
      <c r="A153" s="26">
        <v>140</v>
      </c>
      <c r="B153" s="30">
        <v>46198</v>
      </c>
      <c r="C153" s="32" t="s">
        <v>13</v>
      </c>
      <c r="D153" s="34"/>
      <c r="E153" s="36"/>
      <c r="F153" s="27">
        <v>0.16411500000000001</v>
      </c>
      <c r="G153" s="28" t="s">
        <v>521</v>
      </c>
      <c r="H153" s="26" t="str">
        <f>IFERROR(INDEX(REALDATA!$C$2:$C$1048576,MATCH(G153,REALDATA!$B$2:$B$1048576,0)),"125/FJ")</f>
        <v>125/FJ</v>
      </c>
      <c r="I153" s="28" t="s">
        <v>386</v>
      </c>
      <c r="J153" s="26" t="s">
        <v>387</v>
      </c>
      <c r="K153" s="28" t="s">
        <v>578</v>
      </c>
      <c r="L153" s="28"/>
      <c r="M153" s="28"/>
      <c r="N153" s="26"/>
      <c r="O153" s="27" t="str">
        <f t="shared" si="2"/>
        <v/>
      </c>
      <c r="P153" s="26"/>
    </row>
    <row r="154" spans="1:16" ht="15.95" customHeight="1" x14ac:dyDescent="0.25">
      <c r="A154" s="26">
        <v>141</v>
      </c>
      <c r="B154" s="30">
        <v>46198</v>
      </c>
      <c r="C154" s="32" t="s">
        <v>13</v>
      </c>
      <c r="D154" s="34"/>
      <c r="E154" s="36"/>
      <c r="F154" s="27">
        <v>7.6560000000000003E-2</v>
      </c>
      <c r="G154" s="28" t="s">
        <v>559</v>
      </c>
      <c r="H154" s="26" t="str">
        <f>IFERROR(INDEX(REALDATA!$C$2:$C$1048576,MATCH(G154,REALDATA!$B$2:$B$1048576,0)),"135/GO")</f>
        <v>135/GO</v>
      </c>
      <c r="I154" s="28" t="s">
        <v>573</v>
      </c>
      <c r="J154" s="26" t="s">
        <v>387</v>
      </c>
      <c r="K154" s="28" t="s">
        <v>579</v>
      </c>
      <c r="L154" s="28"/>
      <c r="M154" s="28"/>
      <c r="N154" s="26"/>
      <c r="O154" s="27" t="str">
        <f t="shared" si="2"/>
        <v/>
      </c>
      <c r="P154" s="26"/>
    </row>
    <row r="155" spans="1:16" ht="15.95" customHeight="1" x14ac:dyDescent="0.25">
      <c r="A155" s="26">
        <v>142</v>
      </c>
      <c r="B155" s="30">
        <v>46198</v>
      </c>
      <c r="C155" s="32" t="s">
        <v>13</v>
      </c>
      <c r="D155" s="34"/>
      <c r="E155" s="36"/>
      <c r="F155" s="27">
        <v>8.949E-2</v>
      </c>
      <c r="G155" s="28" t="s">
        <v>559</v>
      </c>
      <c r="H155" s="26" t="str">
        <f>IFERROR(INDEX(REALDATA!$C$2:$C$1048576,MATCH(G155,REALDATA!$B$2:$B$1048576,0)),"135/GO")</f>
        <v>135/GO</v>
      </c>
      <c r="I155" s="28" t="s">
        <v>406</v>
      </c>
      <c r="J155" s="26" t="s">
        <v>387</v>
      </c>
      <c r="K155" s="28" t="s">
        <v>580</v>
      </c>
      <c r="L155" s="28"/>
      <c r="M155" s="28"/>
      <c r="N155" s="26"/>
      <c r="O155" s="27" t="str">
        <f t="shared" si="2"/>
        <v/>
      </c>
      <c r="P155" s="26"/>
    </row>
    <row r="156" spans="1:16" ht="15.95" customHeight="1" x14ac:dyDescent="0.25">
      <c r="A156" s="26">
        <v>143</v>
      </c>
      <c r="B156" s="30">
        <v>46198</v>
      </c>
      <c r="C156" s="32" t="s">
        <v>13</v>
      </c>
      <c r="D156" s="34"/>
      <c r="E156" s="36"/>
      <c r="F156" s="27">
        <v>0.66916500000000001</v>
      </c>
      <c r="G156" s="28" t="s">
        <v>576</v>
      </c>
      <c r="H156" s="26" t="str">
        <f>IFERROR(INDEX(REALDATA!$C$2:$C$1048576,MATCH(G156,REALDATA!$B$2:$B$1048576,0)),"083/FO")</f>
        <v>083/FO</v>
      </c>
      <c r="I156" s="28" t="s">
        <v>409</v>
      </c>
      <c r="J156" s="26" t="s">
        <v>387</v>
      </c>
      <c r="K156" s="28" t="s">
        <v>581</v>
      </c>
      <c r="L156" s="28"/>
      <c r="M156" s="28"/>
      <c r="N156" s="26"/>
      <c r="O156" s="27" t="str">
        <f t="shared" si="2"/>
        <v/>
      </c>
      <c r="P156" s="26"/>
    </row>
    <row r="157" spans="1:16" ht="15.95" customHeight="1" x14ac:dyDescent="0.25">
      <c r="A157" s="26">
        <v>144</v>
      </c>
      <c r="B157" s="30">
        <v>46198</v>
      </c>
      <c r="C157" s="32" t="s">
        <v>13</v>
      </c>
      <c r="D157" s="34"/>
      <c r="E157" s="36"/>
      <c r="F157" s="27">
        <v>0</v>
      </c>
      <c r="G157" s="28" t="s">
        <v>582</v>
      </c>
      <c r="H157" s="26" t="str">
        <f>IFERROR(INDEX(REALDATA!$C$2:$C$1048576,MATCH(G157,REALDATA!$B$2:$B$1048576,0)),"115/PA")</f>
        <v>115/PA</v>
      </c>
      <c r="I157" s="28" t="s">
        <v>583</v>
      </c>
      <c r="J157" s="26" t="s">
        <v>387</v>
      </c>
      <c r="K157" s="28" t="s">
        <v>584</v>
      </c>
      <c r="L157" s="28" t="s">
        <v>585</v>
      </c>
      <c r="M157" s="28"/>
      <c r="N157" s="26"/>
      <c r="O157" s="27" t="str">
        <f t="shared" si="2"/>
        <v/>
      </c>
      <c r="P157" s="26"/>
    </row>
    <row r="158" spans="1:16" ht="15.95" customHeight="1" x14ac:dyDescent="0.25">
      <c r="A158" s="26">
        <v>145</v>
      </c>
      <c r="B158" s="30">
        <v>46202</v>
      </c>
      <c r="C158" s="32" t="s">
        <v>13</v>
      </c>
      <c r="D158" s="34"/>
      <c r="E158" s="36"/>
      <c r="F158" s="27">
        <v>3.3253474999999999</v>
      </c>
      <c r="G158" s="28" t="s">
        <v>582</v>
      </c>
      <c r="H158" s="26" t="str">
        <f>IFERROR(INDEX(REALDATA!$C$2:$C$1048576,MATCH(G158,REALDATA!$B$2:$B$1048576,0)),"115/PA")</f>
        <v>115/PA</v>
      </c>
      <c r="I158" s="28" t="s">
        <v>583</v>
      </c>
      <c r="J158" s="26" t="s">
        <v>387</v>
      </c>
      <c r="K158" s="28" t="s">
        <v>586</v>
      </c>
      <c r="L158" s="28"/>
      <c r="M158" s="28"/>
      <c r="N158" s="26"/>
      <c r="O158" s="27" t="str">
        <f t="shared" si="2"/>
        <v/>
      </c>
      <c r="P158" s="26"/>
    </row>
    <row r="159" spans="1:16" ht="15.95" customHeight="1" x14ac:dyDescent="0.25">
      <c r="A159" s="26">
        <v>146</v>
      </c>
      <c r="B159" s="30">
        <v>46203</v>
      </c>
      <c r="C159" s="32" t="s">
        <v>13</v>
      </c>
      <c r="D159" s="34"/>
      <c r="E159" s="36"/>
      <c r="F159" s="27">
        <v>0.23496</v>
      </c>
      <c r="G159" s="28" t="s">
        <v>587</v>
      </c>
      <c r="H159" s="26" t="str">
        <f>IFERROR(INDEX(REALDATA!$C$2:$C$1048576,MATCH(G159,REALDATA!$B$2:$B$1048576,0)),"125/FJ")</f>
        <v>125/FJ</v>
      </c>
      <c r="I159" s="28" t="s">
        <v>409</v>
      </c>
      <c r="J159" s="26" t="s">
        <v>387</v>
      </c>
      <c r="K159" s="28" t="s">
        <v>588</v>
      </c>
      <c r="L159" s="28"/>
      <c r="M159" s="28"/>
      <c r="N159" s="26"/>
      <c r="O159" s="27" t="str">
        <f t="shared" si="2"/>
        <v/>
      </c>
      <c r="P159" s="26"/>
    </row>
    <row r="160" spans="1:16" ht="15.95" customHeight="1" x14ac:dyDescent="0.25">
      <c r="A160" s="26">
        <v>147</v>
      </c>
      <c r="B160" s="30">
        <v>46204</v>
      </c>
      <c r="C160" s="32" t="s">
        <v>13</v>
      </c>
      <c r="D160" s="34"/>
      <c r="E160" s="36"/>
      <c r="F160" s="27">
        <v>0.63931499999999997</v>
      </c>
      <c r="G160" s="28" t="s">
        <v>587</v>
      </c>
      <c r="H160" s="26" t="str">
        <f>IFERROR(INDEX(REALDATA!$C$2:$C$1048576,MATCH(G160,REALDATA!$B$2:$B$1048576,0)),"125/FJ")</f>
        <v>125/FJ</v>
      </c>
      <c r="I160" s="28" t="s">
        <v>589</v>
      </c>
      <c r="J160" s="26" t="s">
        <v>387</v>
      </c>
      <c r="K160" s="28" t="s">
        <v>590</v>
      </c>
      <c r="L160" s="28"/>
      <c r="M160" s="28"/>
      <c r="N160" s="26"/>
      <c r="O160" s="27" t="str">
        <f t="shared" si="2"/>
        <v/>
      </c>
      <c r="P160" s="26"/>
    </row>
    <row r="161" spans="1:16" ht="15.95" customHeight="1" x14ac:dyDescent="0.25">
      <c r="A161" s="26">
        <v>148</v>
      </c>
      <c r="B161" s="30">
        <v>46204</v>
      </c>
      <c r="C161" s="32" t="s">
        <v>13</v>
      </c>
      <c r="D161" s="34"/>
      <c r="E161" s="36"/>
      <c r="F161" s="27">
        <v>0.30300500000000002</v>
      </c>
      <c r="G161" s="28" t="s">
        <v>587</v>
      </c>
      <c r="H161" s="26" t="str">
        <f>IFERROR(INDEX(REALDATA!$C$2:$C$1048576,MATCH(G161,REALDATA!$B$2:$B$1048576,0)),"125/FJ")</f>
        <v>125/FJ</v>
      </c>
      <c r="I161" s="28" t="s">
        <v>403</v>
      </c>
      <c r="J161" s="26" t="s">
        <v>387</v>
      </c>
      <c r="K161" s="28" t="s">
        <v>591</v>
      </c>
      <c r="L161" s="28"/>
      <c r="M161" s="28"/>
      <c r="N161" s="26"/>
      <c r="O161" s="27" t="str">
        <f t="shared" si="2"/>
        <v/>
      </c>
      <c r="P161" s="26"/>
    </row>
    <row r="162" spans="1:16" ht="15.95" customHeight="1" x14ac:dyDescent="0.25">
      <c r="A162" s="26">
        <v>149</v>
      </c>
      <c r="B162" s="30">
        <v>46204</v>
      </c>
      <c r="C162" s="32" t="s">
        <v>13</v>
      </c>
      <c r="D162" s="34"/>
      <c r="E162" s="36"/>
      <c r="F162" s="27">
        <v>0.40856399999999998</v>
      </c>
      <c r="G162" s="28" t="s">
        <v>576</v>
      </c>
      <c r="H162" s="26" t="str">
        <f>IFERROR(INDEX(REALDATA!$C$2:$C$1048576,MATCH(G162,REALDATA!$B$2:$B$1048576,0)),"083/FO")</f>
        <v>083/FO</v>
      </c>
      <c r="I162" s="28" t="s">
        <v>592</v>
      </c>
      <c r="J162" s="26" t="s">
        <v>387</v>
      </c>
      <c r="K162" s="28" t="s">
        <v>593</v>
      </c>
      <c r="L162" s="28"/>
      <c r="M162" s="28"/>
      <c r="N162" s="26"/>
      <c r="O162" s="27" t="str">
        <f t="shared" si="2"/>
        <v/>
      </c>
      <c r="P162" s="26"/>
    </row>
    <row r="163" spans="1:16" ht="15.95" customHeight="1" x14ac:dyDescent="0.25">
      <c r="A163" s="26">
        <v>150</v>
      </c>
      <c r="B163" s="30">
        <v>46204</v>
      </c>
      <c r="C163" s="32" t="s">
        <v>13</v>
      </c>
      <c r="D163" s="34"/>
      <c r="E163" s="36"/>
      <c r="F163" s="27">
        <v>0.27237600000000001</v>
      </c>
      <c r="G163" s="28" t="s">
        <v>576</v>
      </c>
      <c r="H163" s="26" t="str">
        <f>IFERROR(INDEX(REALDATA!$C$2:$C$1048576,MATCH(G163,REALDATA!$B$2:$B$1048576,0)),"083/FO")</f>
        <v>083/FO</v>
      </c>
      <c r="I163" s="28" t="s">
        <v>594</v>
      </c>
      <c r="J163" s="26" t="s">
        <v>387</v>
      </c>
      <c r="K163" s="28" t="s">
        <v>595</v>
      </c>
      <c r="L163" s="28"/>
      <c r="M163" s="28"/>
      <c r="N163" s="26"/>
      <c r="O163" s="27" t="str">
        <f t="shared" si="2"/>
        <v/>
      </c>
      <c r="P163" s="26"/>
    </row>
    <row r="164" spans="1:16" ht="15.95" customHeight="1" x14ac:dyDescent="0.25">
      <c r="A164" s="26">
        <v>151</v>
      </c>
      <c r="B164" s="30">
        <v>46204</v>
      </c>
      <c r="C164" s="32" t="s">
        <v>13</v>
      </c>
      <c r="D164" s="34"/>
      <c r="E164" s="36"/>
      <c r="F164" s="27">
        <v>0.89964</v>
      </c>
      <c r="G164" s="28" t="s">
        <v>559</v>
      </c>
      <c r="H164" s="26" t="str">
        <f>IFERROR(INDEX(REALDATA!$C$2:$C$1048576,MATCH(G164,REALDATA!$B$2:$B$1048576,0)),"135/GO")</f>
        <v>135/GO</v>
      </c>
      <c r="I164" s="28" t="s">
        <v>561</v>
      </c>
      <c r="J164" s="26" t="s">
        <v>387</v>
      </c>
      <c r="K164" s="28" t="s">
        <v>596</v>
      </c>
      <c r="L164" s="28"/>
      <c r="M164" s="28"/>
      <c r="N164" s="26"/>
      <c r="O164" s="27" t="str">
        <f t="shared" si="2"/>
        <v/>
      </c>
      <c r="P164" s="26"/>
    </row>
    <row r="165" spans="1:16" ht="15.95" customHeight="1" x14ac:dyDescent="0.25">
      <c r="A165" s="26">
        <v>152</v>
      </c>
      <c r="B165" s="30">
        <v>46206</v>
      </c>
      <c r="C165" s="32" t="s">
        <v>13</v>
      </c>
      <c r="D165" s="34"/>
      <c r="E165" s="36"/>
      <c r="F165" s="27">
        <v>0.29508000000000001</v>
      </c>
      <c r="G165" s="28" t="s">
        <v>582</v>
      </c>
      <c r="H165" s="26" t="str">
        <f>IFERROR(INDEX(REALDATA!$C$2:$C$1048576,MATCH(G165,REALDATA!$B$2:$B$1048576,0)),"115/PA")</f>
        <v>115/PA</v>
      </c>
      <c r="I165" s="28" t="s">
        <v>583</v>
      </c>
      <c r="J165" s="26" t="s">
        <v>387</v>
      </c>
      <c r="K165" s="28" t="s">
        <v>597</v>
      </c>
      <c r="L165" s="28"/>
      <c r="M165" s="28"/>
      <c r="N165" s="26"/>
      <c r="O165" s="27" t="str">
        <f t="shared" si="2"/>
        <v/>
      </c>
      <c r="P165" s="26"/>
    </row>
    <row r="166" spans="1:16" ht="15.95" customHeight="1" x14ac:dyDescent="0.25">
      <c r="A166" s="26">
        <v>153</v>
      </c>
      <c r="B166" s="30">
        <v>46208</v>
      </c>
      <c r="C166" s="32" t="s">
        <v>13</v>
      </c>
      <c r="D166" s="34"/>
      <c r="E166" s="36"/>
      <c r="F166" s="27">
        <v>0.2616</v>
      </c>
      <c r="G166" s="28" t="s">
        <v>587</v>
      </c>
      <c r="H166" s="26" t="str">
        <f>IFERROR(INDEX(REALDATA!$C$2:$C$1048576,MATCH(G166,REALDATA!$B$2:$B$1048576,0)),"125/FJ")</f>
        <v>125/FJ</v>
      </c>
      <c r="I166" s="28" t="s">
        <v>409</v>
      </c>
      <c r="J166" s="26" t="s">
        <v>387</v>
      </c>
      <c r="K166" s="28" t="s">
        <v>598</v>
      </c>
      <c r="L166" s="28"/>
      <c r="M166" s="28"/>
      <c r="N166" s="26"/>
      <c r="O166" s="27" t="str">
        <f t="shared" si="2"/>
        <v/>
      </c>
      <c r="P166" s="26"/>
    </row>
    <row r="167" spans="1:16" ht="15.95" customHeight="1" x14ac:dyDescent="0.25">
      <c r="A167" s="26">
        <v>154</v>
      </c>
      <c r="B167" s="30">
        <v>46208</v>
      </c>
      <c r="C167" s="32" t="s">
        <v>13</v>
      </c>
      <c r="D167" s="34"/>
      <c r="E167" s="36"/>
      <c r="F167" s="27">
        <v>2.2279650000000002</v>
      </c>
      <c r="G167" s="28" t="s">
        <v>582</v>
      </c>
      <c r="H167" s="26" t="str">
        <f>IFERROR(INDEX(REALDATA!$C$2:$C$1048576,MATCH(G167,REALDATA!$B$2:$B$1048576,0)),"115/PA")</f>
        <v>115/PA</v>
      </c>
      <c r="I167" s="28" t="s">
        <v>583</v>
      </c>
      <c r="J167" s="26" t="s">
        <v>387</v>
      </c>
      <c r="K167" s="28" t="s">
        <v>599</v>
      </c>
      <c r="L167" s="28"/>
      <c r="M167" s="28"/>
      <c r="N167" s="26"/>
      <c r="O167" s="27" t="str">
        <f t="shared" si="2"/>
        <v/>
      </c>
      <c r="P167" s="26"/>
    </row>
    <row r="168" spans="1:16" ht="15.95" customHeight="1" x14ac:dyDescent="0.25">
      <c r="A168" s="26">
        <v>155</v>
      </c>
      <c r="B168" s="30">
        <v>46209</v>
      </c>
      <c r="C168" s="32" t="s">
        <v>13</v>
      </c>
      <c r="D168" s="34"/>
      <c r="E168" s="36"/>
      <c r="F168" s="27">
        <v>0.28804999999999997</v>
      </c>
      <c r="G168" s="28" t="s">
        <v>600</v>
      </c>
      <c r="H168" s="26" t="str">
        <f>IFERROR(INDEX(REALDATA!$C$2:$C$1048576,MATCH(G168,REALDATA!$B$2:$B$1048576,0)),"134/OB")</f>
        <v>134/OB</v>
      </c>
      <c r="I168" s="28" t="s">
        <v>601</v>
      </c>
      <c r="J168" s="26" t="s">
        <v>387</v>
      </c>
      <c r="K168" s="28" t="s">
        <v>602</v>
      </c>
      <c r="L168" s="28"/>
      <c r="M168" s="28"/>
      <c r="N168" s="26"/>
      <c r="O168" s="27" t="str">
        <f t="shared" si="2"/>
        <v/>
      </c>
      <c r="P168" s="26"/>
    </row>
    <row r="169" spans="1:16" ht="15.95" customHeight="1" x14ac:dyDescent="0.25">
      <c r="A169" s="26">
        <v>156</v>
      </c>
      <c r="B169" s="30">
        <v>46209</v>
      </c>
      <c r="C169" s="32" t="s">
        <v>13</v>
      </c>
      <c r="D169" s="34"/>
      <c r="E169" s="36"/>
      <c r="F169" s="27">
        <v>0.86009000000000002</v>
      </c>
      <c r="G169" s="28" t="s">
        <v>582</v>
      </c>
      <c r="H169" s="26" t="str">
        <f>IFERROR(INDEX(REALDATA!$C$2:$C$1048576,MATCH(G169,REALDATA!$B$2:$B$1048576,0)),"115/PA")</f>
        <v>115/PA</v>
      </c>
      <c r="I169" s="28" t="s">
        <v>603</v>
      </c>
      <c r="J169" s="26" t="s">
        <v>387</v>
      </c>
      <c r="K169" s="28" t="s">
        <v>604</v>
      </c>
      <c r="L169" s="28"/>
      <c r="M169" s="28"/>
      <c r="N169" s="26"/>
      <c r="O169" s="27" t="str">
        <f t="shared" si="2"/>
        <v/>
      </c>
      <c r="P169" s="26"/>
    </row>
    <row r="170" spans="1:16" ht="15.95" customHeight="1" x14ac:dyDescent="0.25">
      <c r="A170" s="26">
        <v>157</v>
      </c>
      <c r="B170" s="30">
        <v>46209</v>
      </c>
      <c r="C170" s="32" t="s">
        <v>13</v>
      </c>
      <c r="D170" s="34"/>
      <c r="E170" s="36"/>
      <c r="F170" s="27">
        <v>0.315585</v>
      </c>
      <c r="G170" s="28" t="s">
        <v>587</v>
      </c>
      <c r="H170" s="26" t="str">
        <f>IFERROR(INDEX(REALDATA!$C$2:$C$1048576,MATCH(G170,REALDATA!$B$2:$B$1048576,0)),"125/FJ")</f>
        <v>125/FJ</v>
      </c>
      <c r="I170" s="28" t="s">
        <v>605</v>
      </c>
      <c r="J170" s="26" t="s">
        <v>387</v>
      </c>
      <c r="K170" s="28" t="s">
        <v>606</v>
      </c>
      <c r="L170" s="28"/>
      <c r="M170" s="28"/>
      <c r="N170" s="26"/>
      <c r="O170" s="27" t="str">
        <f t="shared" si="2"/>
        <v/>
      </c>
      <c r="P170" s="26"/>
    </row>
    <row r="171" spans="1:16" ht="15.95" customHeight="1" x14ac:dyDescent="0.25">
      <c r="A171" s="26">
        <v>158</v>
      </c>
      <c r="B171" s="30">
        <v>46210</v>
      </c>
      <c r="C171" s="32" t="s">
        <v>13</v>
      </c>
      <c r="D171" s="34"/>
      <c r="E171" s="36"/>
      <c r="F171" s="27">
        <v>0.88158000000000003</v>
      </c>
      <c r="G171" s="28" t="s">
        <v>587</v>
      </c>
      <c r="H171" s="26" t="str">
        <f>IFERROR(INDEX(REALDATA!$C$2:$C$1048576,MATCH(G171,REALDATA!$B$2:$B$1048576,0)),"125/FJ")</f>
        <v>125/FJ</v>
      </c>
      <c r="I171" s="28" t="s">
        <v>607</v>
      </c>
      <c r="J171" s="26" t="s">
        <v>387</v>
      </c>
      <c r="K171" s="28" t="s">
        <v>608</v>
      </c>
      <c r="L171" s="28"/>
      <c r="M171" s="28"/>
      <c r="N171" s="26"/>
      <c r="O171" s="27" t="str">
        <f t="shared" si="2"/>
        <v/>
      </c>
      <c r="P171" s="26"/>
    </row>
    <row r="172" spans="1:16" ht="15.95" customHeight="1" x14ac:dyDescent="0.25">
      <c r="A172" s="26">
        <v>159</v>
      </c>
      <c r="B172" s="30">
        <v>46211</v>
      </c>
      <c r="C172" s="32" t="s">
        <v>13</v>
      </c>
      <c r="D172" s="34"/>
      <c r="E172" s="36"/>
      <c r="F172" s="27">
        <v>0.36520000000000002</v>
      </c>
      <c r="G172" s="28" t="s">
        <v>582</v>
      </c>
      <c r="H172" s="26" t="str">
        <f>IFERROR(INDEX(REALDATA!$C$2:$C$1048576,MATCH(G172,REALDATA!$B$2:$B$1048576,0)),"115/PA")</f>
        <v>115/PA</v>
      </c>
      <c r="I172" s="28" t="s">
        <v>603</v>
      </c>
      <c r="J172" s="26" t="s">
        <v>387</v>
      </c>
      <c r="K172" s="28" t="s">
        <v>609</v>
      </c>
      <c r="L172" s="28"/>
      <c r="M172" s="28"/>
      <c r="N172" s="26"/>
      <c r="O172" s="27" t="str">
        <f t="shared" si="2"/>
        <v/>
      </c>
      <c r="P172" s="26"/>
    </row>
    <row r="173" spans="1:16" ht="15.95" customHeight="1" x14ac:dyDescent="0.25">
      <c r="A173" s="26">
        <v>160</v>
      </c>
      <c r="B173" s="30">
        <v>46211</v>
      </c>
      <c r="C173" s="32" t="s">
        <v>13</v>
      </c>
      <c r="D173" s="34"/>
      <c r="E173" s="36"/>
      <c r="F173" s="27">
        <v>0.30411500000000002</v>
      </c>
      <c r="G173" s="28" t="s">
        <v>587</v>
      </c>
      <c r="H173" s="26" t="str">
        <f>IFERROR(INDEX(REALDATA!$C$2:$C$1048576,MATCH(G173,REALDATA!$B$2:$B$1048576,0)),"125/FJ")</f>
        <v>125/FJ</v>
      </c>
      <c r="I173" s="28" t="s">
        <v>607</v>
      </c>
      <c r="J173" s="26" t="s">
        <v>387</v>
      </c>
      <c r="K173" s="28" t="s">
        <v>610</v>
      </c>
      <c r="L173" s="28"/>
      <c r="M173" s="28"/>
      <c r="N173" s="26"/>
      <c r="O173" s="27" t="str">
        <f t="shared" si="2"/>
        <v/>
      </c>
      <c r="P173" s="26"/>
    </row>
    <row r="174" spans="1:16" ht="15.95" customHeight="1" x14ac:dyDescent="0.25">
      <c r="A174" s="26">
        <v>161</v>
      </c>
      <c r="B174" s="30">
        <v>46214</v>
      </c>
      <c r="C174" s="32" t="s">
        <v>13</v>
      </c>
      <c r="D174" s="34"/>
      <c r="E174" s="36"/>
      <c r="F174" s="27">
        <v>0.81991000000000003</v>
      </c>
      <c r="G174" s="28" t="s">
        <v>576</v>
      </c>
      <c r="H174" s="26" t="str">
        <f>IFERROR(INDEX(REALDATA!$C$2:$C$1048576,MATCH(G174,REALDATA!$B$2:$B$1048576,0)),"083/FO")</f>
        <v>083/FO</v>
      </c>
      <c r="I174" s="28" t="s">
        <v>611</v>
      </c>
      <c r="J174" s="26" t="s">
        <v>387</v>
      </c>
      <c r="K174" s="28" t="s">
        <v>612</v>
      </c>
      <c r="L174" s="28"/>
      <c r="M174" s="28"/>
      <c r="N174" s="26"/>
      <c r="O174" s="27" t="str">
        <f t="shared" si="2"/>
        <v/>
      </c>
      <c r="P174" s="26"/>
    </row>
    <row r="175" spans="1:16" ht="15.95" customHeight="1" x14ac:dyDescent="0.25">
      <c r="A175" s="26">
        <v>162</v>
      </c>
      <c r="B175" s="30">
        <v>46214</v>
      </c>
      <c r="C175" s="32" t="s">
        <v>13</v>
      </c>
      <c r="D175" s="34"/>
      <c r="E175" s="36"/>
      <c r="F175" s="27">
        <v>0.66325500000000004</v>
      </c>
      <c r="G175" s="28" t="s">
        <v>587</v>
      </c>
      <c r="H175" s="26" t="str">
        <f>IFERROR(INDEX(REALDATA!$C$2:$C$1048576,MATCH(G175,REALDATA!$B$2:$B$1048576,0)),"125/FJ")</f>
        <v>125/FJ</v>
      </c>
      <c r="I175" s="28" t="s">
        <v>607</v>
      </c>
      <c r="J175" s="26" t="s">
        <v>387</v>
      </c>
      <c r="K175" s="28" t="s">
        <v>613</v>
      </c>
      <c r="L175" s="28"/>
      <c r="M175" s="28"/>
      <c r="N175" s="26"/>
      <c r="O175" s="27" t="str">
        <f t="shared" si="2"/>
        <v/>
      </c>
      <c r="P175" s="26"/>
    </row>
    <row r="176" spans="1:16" ht="15.95" customHeight="1" x14ac:dyDescent="0.25">
      <c r="A176" s="26">
        <v>163</v>
      </c>
      <c r="B176" s="30">
        <v>46214</v>
      </c>
      <c r="C176" s="32" t="s">
        <v>13</v>
      </c>
      <c r="D176" s="34"/>
      <c r="E176" s="36"/>
      <c r="F176" s="27">
        <v>0.74575000000000002</v>
      </c>
      <c r="G176" s="28" t="s">
        <v>582</v>
      </c>
      <c r="H176" s="26" t="str">
        <f>IFERROR(INDEX(REALDATA!$C$2:$C$1048576,MATCH(G176,REALDATA!$B$2:$B$1048576,0)),"115/PA")</f>
        <v>115/PA</v>
      </c>
      <c r="I176" s="28" t="s">
        <v>603</v>
      </c>
      <c r="J176" s="26" t="s">
        <v>387</v>
      </c>
      <c r="K176" s="28" t="s">
        <v>614</v>
      </c>
      <c r="L176" s="28"/>
      <c r="M176" s="28"/>
      <c r="N176" s="26"/>
      <c r="O176" s="27" t="str">
        <f t="shared" si="2"/>
        <v/>
      </c>
      <c r="P176" s="26"/>
    </row>
    <row r="177" spans="1:16" ht="15.95" customHeight="1" x14ac:dyDescent="0.25">
      <c r="A177" s="26">
        <v>164</v>
      </c>
      <c r="B177" s="30">
        <v>46216</v>
      </c>
      <c r="C177" s="32" t="s">
        <v>13</v>
      </c>
      <c r="D177" s="34"/>
      <c r="E177" s="36"/>
      <c r="F177" s="27">
        <v>0.283275</v>
      </c>
      <c r="G177" s="28" t="s">
        <v>576</v>
      </c>
      <c r="H177" s="26" t="str">
        <f>IFERROR(INDEX(REALDATA!$C$2:$C$1048576,MATCH(G177,REALDATA!$B$2:$B$1048576,0)),"083/FO")</f>
        <v>083/FO</v>
      </c>
      <c r="I177" s="28" t="s">
        <v>611</v>
      </c>
      <c r="J177" s="26" t="s">
        <v>387</v>
      </c>
      <c r="K177" s="28" t="s">
        <v>615</v>
      </c>
      <c r="L177" s="28"/>
      <c r="M177" s="28"/>
      <c r="N177" s="26"/>
      <c r="O177" s="27" t="str">
        <f t="shared" si="2"/>
        <v/>
      </c>
      <c r="P177" s="26"/>
    </row>
    <row r="178" spans="1:16" ht="15.95" customHeight="1" x14ac:dyDescent="0.25">
      <c r="A178" s="26">
        <v>165</v>
      </c>
      <c r="B178" s="30">
        <v>46216</v>
      </c>
      <c r="C178" s="32" t="s">
        <v>13</v>
      </c>
      <c r="D178" s="34"/>
      <c r="E178" s="36"/>
      <c r="F178" s="27">
        <v>0.47865999999999997</v>
      </c>
      <c r="G178" s="28" t="s">
        <v>582</v>
      </c>
      <c r="H178" s="26" t="str">
        <f>IFERROR(INDEX(REALDATA!$C$2:$C$1048576,MATCH(G178,REALDATA!$B$2:$B$1048576,0)),"115/PA")</f>
        <v>115/PA</v>
      </c>
      <c r="I178" s="28" t="s">
        <v>603</v>
      </c>
      <c r="J178" s="26" t="s">
        <v>387</v>
      </c>
      <c r="K178" s="28" t="s">
        <v>616</v>
      </c>
      <c r="L178" s="28"/>
      <c r="M178" s="28"/>
      <c r="N178" s="26"/>
      <c r="O178" s="27" t="str">
        <f t="shared" si="2"/>
        <v/>
      </c>
      <c r="P178" s="26"/>
    </row>
    <row r="179" spans="1:16" ht="15.95" customHeight="1" x14ac:dyDescent="0.25">
      <c r="A179" s="26">
        <v>166</v>
      </c>
      <c r="B179" s="30">
        <v>46216</v>
      </c>
      <c r="C179" s="32" t="s">
        <v>13</v>
      </c>
      <c r="D179" s="34"/>
      <c r="E179" s="36"/>
      <c r="F179" s="27">
        <v>0.193935</v>
      </c>
      <c r="G179" s="28" t="s">
        <v>600</v>
      </c>
      <c r="H179" s="26" t="str">
        <f>IFERROR(INDEX(REALDATA!$C$2:$C$1048576,MATCH(G179,REALDATA!$B$2:$B$1048576,0)),"134/OB")</f>
        <v>134/OB</v>
      </c>
      <c r="I179" s="28" t="s">
        <v>617</v>
      </c>
      <c r="J179" s="26" t="s">
        <v>387</v>
      </c>
      <c r="K179" s="28" t="s">
        <v>618</v>
      </c>
      <c r="L179" s="28"/>
      <c r="M179" s="28"/>
      <c r="N179" s="26"/>
      <c r="O179" s="27" t="str">
        <f t="shared" si="2"/>
        <v/>
      </c>
      <c r="P179" s="26"/>
    </row>
    <row r="180" spans="1:16" ht="15.95" customHeight="1" x14ac:dyDescent="0.25">
      <c r="A180" s="26">
        <v>167</v>
      </c>
      <c r="B180" s="30">
        <v>46218</v>
      </c>
      <c r="C180" s="32" t="s">
        <v>13</v>
      </c>
      <c r="D180" s="34"/>
      <c r="E180" s="36"/>
      <c r="F180" s="27">
        <v>0.69177</v>
      </c>
      <c r="G180" s="28" t="s">
        <v>582</v>
      </c>
      <c r="H180" s="26" t="str">
        <f>IFERROR(INDEX(REALDATA!$C$2:$C$1048576,MATCH(G180,REALDATA!$B$2:$B$1048576,0)),"115/PA")</f>
        <v>115/PA</v>
      </c>
      <c r="I180" s="28" t="s">
        <v>603</v>
      </c>
      <c r="J180" s="26" t="s">
        <v>387</v>
      </c>
      <c r="K180" s="28" t="s">
        <v>619</v>
      </c>
      <c r="L180" s="28"/>
      <c r="M180" s="28"/>
      <c r="N180" s="26"/>
      <c r="O180" s="27" t="str">
        <f t="shared" si="2"/>
        <v/>
      </c>
      <c r="P180" s="26"/>
    </row>
    <row r="181" spans="1:16" ht="15.95" customHeight="1" x14ac:dyDescent="0.25">
      <c r="A181" s="26">
        <v>168</v>
      </c>
      <c r="B181" s="30">
        <v>46218</v>
      </c>
      <c r="C181" s="32" t="s">
        <v>13</v>
      </c>
      <c r="D181" s="34"/>
      <c r="E181" s="36"/>
      <c r="F181" s="27">
        <v>0.29200500000000001</v>
      </c>
      <c r="G181" s="28" t="s">
        <v>600</v>
      </c>
      <c r="H181" s="26" t="str">
        <f>IFERROR(INDEX(REALDATA!$C$2:$C$1048576,MATCH(G181,REALDATA!$B$2:$B$1048576,0)),"134/OB")</f>
        <v>134/OB</v>
      </c>
      <c r="I181" s="28" t="s">
        <v>617</v>
      </c>
      <c r="J181" s="26" t="s">
        <v>387</v>
      </c>
      <c r="K181" s="28" t="s">
        <v>620</v>
      </c>
      <c r="L181" s="28"/>
      <c r="M181" s="28"/>
      <c r="N181" s="26"/>
      <c r="O181" s="27" t="str">
        <f t="shared" si="2"/>
        <v/>
      </c>
      <c r="P181" s="26"/>
    </row>
    <row r="182" spans="1:16" ht="15.95" customHeight="1" x14ac:dyDescent="0.25">
      <c r="A182" s="26">
        <v>169</v>
      </c>
      <c r="B182" s="30">
        <v>46223</v>
      </c>
      <c r="C182" s="32" t="s">
        <v>13</v>
      </c>
      <c r="D182" s="34"/>
      <c r="E182" s="36"/>
      <c r="F182" s="27">
        <v>0.69581999999999999</v>
      </c>
      <c r="G182" s="28" t="s">
        <v>621</v>
      </c>
      <c r="H182" s="26" t="str">
        <f>IFERROR(INDEX(REALDATA!$C$2:$C$1048576,MATCH(G182,REALDATA!$B$2:$B$1048576,0)),"000/ELM")</f>
        <v>000/ELM</v>
      </c>
      <c r="I182" s="28" t="s">
        <v>607</v>
      </c>
      <c r="J182" s="26" t="s">
        <v>387</v>
      </c>
      <c r="K182" s="28" t="s">
        <v>622</v>
      </c>
      <c r="L182" s="28"/>
      <c r="M182" s="28"/>
      <c r="N182" s="26"/>
      <c r="O182" s="27" t="str">
        <f t="shared" si="2"/>
        <v/>
      </c>
      <c r="P182" s="26"/>
    </row>
    <row r="183" spans="1:16" ht="15.95" customHeight="1" x14ac:dyDescent="0.25">
      <c r="A183" s="26">
        <v>170</v>
      </c>
      <c r="B183" s="30">
        <v>46223</v>
      </c>
      <c r="C183" s="32" t="s">
        <v>13</v>
      </c>
      <c r="D183" s="34"/>
      <c r="E183" s="36"/>
      <c r="F183" s="27">
        <v>0.23504</v>
      </c>
      <c r="G183" s="28" t="s">
        <v>623</v>
      </c>
      <c r="H183" s="26" t="str">
        <f>IFERROR(INDEX(REALDATA!$C$2:$C$1048576,MATCH(G183,REALDATA!$B$2:$B$1048576,0)),"079/IL")</f>
        <v>079/IL</v>
      </c>
      <c r="I183" s="28" t="s">
        <v>624</v>
      </c>
      <c r="J183" s="26" t="s">
        <v>387</v>
      </c>
      <c r="K183" s="28" t="s">
        <v>625</v>
      </c>
      <c r="L183" s="28"/>
      <c r="M183" s="28"/>
      <c r="N183" s="26"/>
      <c r="O183" s="27" t="str">
        <f t="shared" si="2"/>
        <v/>
      </c>
      <c r="P183" s="26"/>
    </row>
    <row r="184" spans="1:16" ht="15.95" customHeight="1" x14ac:dyDescent="0.25">
      <c r="A184" s="26">
        <v>171</v>
      </c>
      <c r="B184" s="30">
        <v>46223</v>
      </c>
      <c r="C184" s="32" t="s">
        <v>13</v>
      </c>
      <c r="D184" s="34"/>
      <c r="E184" s="36"/>
      <c r="F184" s="27">
        <v>0.106965</v>
      </c>
      <c r="G184" s="28" t="s">
        <v>576</v>
      </c>
      <c r="H184" s="26" t="str">
        <f>IFERROR(INDEX(REALDATA!$C$2:$C$1048576,MATCH(G184,REALDATA!$B$2:$B$1048576,0)),"083/FO")</f>
        <v>083/FO</v>
      </c>
      <c r="I184" s="28" t="s">
        <v>626</v>
      </c>
      <c r="J184" s="26" t="s">
        <v>387</v>
      </c>
      <c r="K184" s="28" t="s">
        <v>627</v>
      </c>
      <c r="L184" s="28"/>
      <c r="M184" s="28"/>
      <c r="N184" s="26"/>
      <c r="O184" s="27" t="str">
        <f t="shared" si="2"/>
        <v/>
      </c>
      <c r="P184" s="26"/>
    </row>
    <row r="185" spans="1:16" ht="15.95" customHeight="1" x14ac:dyDescent="0.25">
      <c r="A185" s="26">
        <v>172</v>
      </c>
      <c r="B185" s="30">
        <v>46223</v>
      </c>
      <c r="C185" s="32" t="s">
        <v>13</v>
      </c>
      <c r="D185" s="34"/>
      <c r="E185" s="36"/>
      <c r="F185" s="27">
        <v>0.16220000000000001</v>
      </c>
      <c r="G185" s="28" t="s">
        <v>576</v>
      </c>
      <c r="H185" s="26" t="str">
        <f>IFERROR(INDEX(REALDATA!$C$2:$C$1048576,MATCH(G185,REALDATA!$B$2:$B$1048576,0)),"083/FO")</f>
        <v>083/FO</v>
      </c>
      <c r="I185" s="28" t="s">
        <v>628</v>
      </c>
      <c r="J185" s="26" t="s">
        <v>387</v>
      </c>
      <c r="K185" s="28" t="s">
        <v>629</v>
      </c>
      <c r="L185" s="28"/>
      <c r="M185" s="28"/>
      <c r="N185" s="26"/>
      <c r="O185" s="27" t="str">
        <f t="shared" si="2"/>
        <v/>
      </c>
      <c r="P185" s="26"/>
    </row>
    <row r="186" spans="1:16" ht="15.95" customHeight="1" x14ac:dyDescent="0.25">
      <c r="A186" s="26">
        <v>173</v>
      </c>
      <c r="B186" s="30">
        <v>46223</v>
      </c>
      <c r="C186" s="32" t="s">
        <v>13</v>
      </c>
      <c r="D186" s="34"/>
      <c r="E186" s="36"/>
      <c r="F186" s="27">
        <v>0.29953999999999997</v>
      </c>
      <c r="G186" s="28" t="s">
        <v>630</v>
      </c>
      <c r="H186" s="26" t="str">
        <f>IFERROR(INDEX(REALDATA!$C$2:$C$1048576,MATCH(G186,REALDATA!$B$2:$B$1048576,0)),"102/SL")</f>
        <v>102/SL</v>
      </c>
      <c r="I186" s="28" t="s">
        <v>631</v>
      </c>
      <c r="J186" s="26" t="s">
        <v>387</v>
      </c>
      <c r="K186" s="28" t="s">
        <v>632</v>
      </c>
      <c r="L186" s="28"/>
      <c r="M186" s="28"/>
      <c r="N186" s="26"/>
      <c r="O186" s="27" t="str">
        <f t="shared" si="2"/>
        <v/>
      </c>
      <c r="P186" s="26"/>
    </row>
    <row r="187" spans="1:16" ht="15.95" customHeight="1" x14ac:dyDescent="0.25">
      <c r="A187" s="26">
        <v>174</v>
      </c>
      <c r="B187" s="30">
        <v>46224</v>
      </c>
      <c r="C187" s="32" t="s">
        <v>13</v>
      </c>
      <c r="D187" s="34"/>
      <c r="E187" s="36"/>
      <c r="F187" s="27">
        <v>0.11940000000000001</v>
      </c>
      <c r="G187" s="28" t="s">
        <v>411</v>
      </c>
      <c r="H187" s="26" t="s">
        <v>411</v>
      </c>
      <c r="I187" s="28" t="s">
        <v>633</v>
      </c>
      <c r="J187" s="26" t="s">
        <v>411</v>
      </c>
      <c r="K187" s="28" t="s">
        <v>634</v>
      </c>
      <c r="L187" s="28"/>
      <c r="M187" s="28"/>
      <c r="N187" s="26"/>
      <c r="O187" s="27" t="str">
        <f t="shared" si="2"/>
        <v/>
      </c>
      <c r="P187" s="26"/>
    </row>
    <row r="188" spans="1:16" ht="15.95" customHeight="1" x14ac:dyDescent="0.25">
      <c r="A188" s="26">
        <v>175</v>
      </c>
      <c r="B188" s="30">
        <v>46227</v>
      </c>
      <c r="C188" s="32" t="s">
        <v>13</v>
      </c>
      <c r="D188" s="34"/>
      <c r="E188" s="36"/>
      <c r="F188" s="27">
        <v>1.0024500000000001</v>
      </c>
      <c r="G188" s="28" t="s">
        <v>582</v>
      </c>
      <c r="H188" s="26" t="str">
        <f>IFERROR(INDEX(REALDATA!$C$2:$C$1048576,MATCH(G188,REALDATA!$B$2:$B$1048576,0)),"115/PA")</f>
        <v>115/PA</v>
      </c>
      <c r="I188" s="28" t="s">
        <v>603</v>
      </c>
      <c r="J188" s="26" t="s">
        <v>387</v>
      </c>
      <c r="K188" s="28" t="s">
        <v>635</v>
      </c>
      <c r="L188" s="28"/>
      <c r="M188" s="28"/>
      <c r="N188" s="26"/>
      <c r="O188" s="27" t="str">
        <f t="shared" si="2"/>
        <v/>
      </c>
      <c r="P188" s="26"/>
    </row>
    <row r="189" spans="1:16" ht="15.95" customHeight="1" x14ac:dyDescent="0.25">
      <c r="A189" s="26">
        <v>176</v>
      </c>
      <c r="B189" s="30">
        <v>46227</v>
      </c>
      <c r="C189" s="32" t="s">
        <v>13</v>
      </c>
      <c r="D189" s="34"/>
      <c r="E189" s="36"/>
      <c r="F189" s="27">
        <v>0.76315999999999995</v>
      </c>
      <c r="G189" s="28" t="s">
        <v>636</v>
      </c>
      <c r="H189" s="26" t="str">
        <f>IFERROR(INDEX(REALDATA!$C$2:$C$1048576,MATCH(G189,REALDATA!$B$2:$B$1048576,0)),"000/ELM")</f>
        <v>000/ELM</v>
      </c>
      <c r="I189" s="28" t="s">
        <v>607</v>
      </c>
      <c r="J189" s="26" t="s">
        <v>387</v>
      </c>
      <c r="K189" s="28" t="s">
        <v>637</v>
      </c>
      <c r="L189" s="28"/>
      <c r="M189" s="28"/>
      <c r="N189" s="26"/>
      <c r="O189" s="27" t="str">
        <f t="shared" si="2"/>
        <v/>
      </c>
      <c r="P189" s="26"/>
    </row>
    <row r="190" spans="1:16" ht="15.95" customHeight="1" x14ac:dyDescent="0.25">
      <c r="A190" s="26">
        <v>177</v>
      </c>
      <c r="B190" s="30">
        <v>46227</v>
      </c>
      <c r="C190" s="32" t="s">
        <v>13</v>
      </c>
      <c r="D190" s="34"/>
      <c r="E190" s="36"/>
      <c r="F190" s="27">
        <v>1.5040500000000001</v>
      </c>
      <c r="G190" s="28" t="s">
        <v>587</v>
      </c>
      <c r="H190" s="26" t="str">
        <f>IFERROR(INDEX(REALDATA!$C$2:$C$1048576,MATCH(G190,REALDATA!$B$2:$B$1048576,0)),"125/FJ")</f>
        <v>125/FJ</v>
      </c>
      <c r="I190" s="28" t="s">
        <v>638</v>
      </c>
      <c r="J190" s="26" t="s">
        <v>387</v>
      </c>
      <c r="K190" s="28" t="s">
        <v>639</v>
      </c>
      <c r="L190" s="28"/>
      <c r="M190" s="28"/>
      <c r="N190" s="26"/>
      <c r="O190" s="27" t="str">
        <f t="shared" si="2"/>
        <v/>
      </c>
      <c r="P190" s="26"/>
    </row>
    <row r="191" spans="1:16" ht="15.95" customHeight="1" x14ac:dyDescent="0.25">
      <c r="A191" s="26">
        <v>178</v>
      </c>
      <c r="B191" s="30">
        <v>46227</v>
      </c>
      <c r="C191" s="32" t="s">
        <v>13</v>
      </c>
      <c r="D191" s="34"/>
      <c r="E191" s="36"/>
      <c r="F191" s="27">
        <v>0.46800000000000003</v>
      </c>
      <c r="G191" s="28" t="s">
        <v>640</v>
      </c>
      <c r="H191" s="26" t="str">
        <f>IFERROR(INDEX(REALDATA!$C$2:$C$1048576,MATCH(G191,REALDATA!$B$2:$B$1048576,0)),"017/TC")</f>
        <v>017/TC</v>
      </c>
      <c r="I191" s="28" t="s">
        <v>628</v>
      </c>
      <c r="J191" s="26" t="s">
        <v>387</v>
      </c>
      <c r="K191" s="28" t="s">
        <v>641</v>
      </c>
      <c r="L191" s="28"/>
      <c r="M191" s="28"/>
      <c r="N191" s="26"/>
      <c r="O191" s="27" t="str">
        <f t="shared" si="2"/>
        <v/>
      </c>
      <c r="P191" s="26"/>
    </row>
    <row r="192" spans="1:16" ht="15.95" customHeight="1" x14ac:dyDescent="0.25">
      <c r="A192" s="26">
        <v>179</v>
      </c>
      <c r="B192" s="30">
        <v>46227</v>
      </c>
      <c r="C192" s="32" t="s">
        <v>13</v>
      </c>
      <c r="D192" s="34"/>
      <c r="E192" s="36"/>
      <c r="F192" s="27">
        <v>0.84386399999999995</v>
      </c>
      <c r="G192" s="28" t="s">
        <v>630</v>
      </c>
      <c r="H192" s="26" t="str">
        <f>IFERROR(INDEX(REALDATA!$C$2:$C$1048576,MATCH(G192,REALDATA!$B$2:$B$1048576,0)),"102/SL")</f>
        <v>102/SL</v>
      </c>
      <c r="I192" s="28" t="s">
        <v>642</v>
      </c>
      <c r="J192" s="26" t="s">
        <v>387</v>
      </c>
      <c r="K192" s="28" t="s">
        <v>643</v>
      </c>
      <c r="L192" s="28"/>
      <c r="M192" s="28"/>
      <c r="N192" s="26"/>
      <c r="O192" s="27" t="str">
        <f t="shared" si="2"/>
        <v/>
      </c>
      <c r="P192" s="26"/>
    </row>
    <row r="193" spans="1:16" ht="15.95" customHeight="1" x14ac:dyDescent="0.25">
      <c r="A193" s="26">
        <v>180</v>
      </c>
      <c r="B193" s="30">
        <v>46228</v>
      </c>
      <c r="C193" s="32" t="s">
        <v>13</v>
      </c>
      <c r="D193" s="34"/>
      <c r="E193" s="36"/>
      <c r="F193" s="27">
        <v>0.1971</v>
      </c>
      <c r="G193" s="28" t="s">
        <v>640</v>
      </c>
      <c r="H193" s="26" t="str">
        <f>IFERROR(INDEX(REALDATA!$C$2:$C$1048576,MATCH(G193,REALDATA!$B$2:$B$1048576,0)),"017/TC")</f>
        <v>017/TC</v>
      </c>
      <c r="I193" s="28" t="s">
        <v>628</v>
      </c>
      <c r="J193" s="26" t="s">
        <v>387</v>
      </c>
      <c r="K193" s="28" t="s">
        <v>644</v>
      </c>
      <c r="L193" s="28"/>
      <c r="M193" s="28"/>
      <c r="N193" s="26"/>
      <c r="O193" s="27" t="str">
        <f t="shared" si="2"/>
        <v/>
      </c>
      <c r="P193" s="26"/>
    </row>
    <row r="194" spans="1:16" ht="15.95" customHeight="1" x14ac:dyDescent="0.25">
      <c r="A194" s="26">
        <v>181</v>
      </c>
      <c r="B194" s="30">
        <v>46228</v>
      </c>
      <c r="C194" s="32" t="s">
        <v>13</v>
      </c>
      <c r="D194" s="34"/>
      <c r="E194" s="36"/>
      <c r="F194" s="27">
        <v>2.7167500000000002</v>
      </c>
      <c r="G194" s="28" t="s">
        <v>640</v>
      </c>
      <c r="H194" s="26" t="str">
        <f>IFERROR(INDEX(REALDATA!$C$2:$C$1048576,MATCH(G194,REALDATA!$B$2:$B$1048576,0)),"017/TC")</f>
        <v>017/TC</v>
      </c>
      <c r="I194" s="28" t="s">
        <v>607</v>
      </c>
      <c r="J194" s="26" t="s">
        <v>387</v>
      </c>
      <c r="K194" s="28" t="s">
        <v>645</v>
      </c>
      <c r="L194" s="28"/>
      <c r="M194" s="28"/>
      <c r="N194" s="26"/>
      <c r="O194" s="27" t="str">
        <f t="shared" si="2"/>
        <v/>
      </c>
      <c r="P194" s="26"/>
    </row>
    <row r="195" spans="1:16" ht="15.95" customHeight="1" x14ac:dyDescent="0.25">
      <c r="A195" s="26">
        <v>182</v>
      </c>
      <c r="B195" s="30">
        <v>46230</v>
      </c>
      <c r="C195" s="32" t="s">
        <v>13</v>
      </c>
      <c r="D195" s="34"/>
      <c r="E195" s="36"/>
      <c r="F195" s="27">
        <v>1.1384399999999999</v>
      </c>
      <c r="G195" s="28" t="s">
        <v>636</v>
      </c>
      <c r="H195" s="26" t="str">
        <f>IFERROR(INDEX(REALDATA!$C$2:$C$1048576,MATCH(G195,REALDATA!$B$2:$B$1048576,0)),"000/ELM")</f>
        <v>000/ELM</v>
      </c>
      <c r="I195" s="28" t="s">
        <v>607</v>
      </c>
      <c r="J195" s="26" t="s">
        <v>387</v>
      </c>
      <c r="K195" s="28" t="s">
        <v>646</v>
      </c>
      <c r="L195" s="28"/>
      <c r="M195" s="28"/>
      <c r="N195" s="26"/>
      <c r="O195" s="27" t="str">
        <f t="shared" si="2"/>
        <v/>
      </c>
      <c r="P195" s="26"/>
    </row>
    <row r="196" spans="1:16" ht="15.95" customHeight="1" x14ac:dyDescent="0.25">
      <c r="A196" s="26">
        <v>183</v>
      </c>
      <c r="B196" s="30">
        <v>46231</v>
      </c>
      <c r="C196" s="32" t="s">
        <v>13</v>
      </c>
      <c r="D196" s="34"/>
      <c r="E196" s="36"/>
      <c r="F196" s="27">
        <v>0.75678999999999996</v>
      </c>
      <c r="G196" s="28" t="s">
        <v>640</v>
      </c>
      <c r="H196" s="26" t="str">
        <f>IFERROR(INDEX(REALDATA!$C$2:$C$1048576,MATCH(G196,REALDATA!$B$2:$B$1048576,0)),"017/TC")</f>
        <v>017/TC</v>
      </c>
      <c r="I196" s="28" t="s">
        <v>607</v>
      </c>
      <c r="J196" s="26" t="s">
        <v>387</v>
      </c>
      <c r="K196" s="28" t="s">
        <v>647</v>
      </c>
      <c r="L196" s="28"/>
      <c r="M196" s="28"/>
      <c r="N196" s="26"/>
      <c r="O196" s="27" t="str">
        <f t="shared" si="2"/>
        <v/>
      </c>
      <c r="P196" s="26"/>
    </row>
    <row r="197" spans="1:16" ht="15.95" customHeight="1" x14ac:dyDescent="0.25">
      <c r="A197" s="26">
        <v>184</v>
      </c>
      <c r="B197" s="30">
        <v>46231</v>
      </c>
      <c r="C197" s="32" t="s">
        <v>13</v>
      </c>
      <c r="D197" s="34"/>
      <c r="E197" s="36"/>
      <c r="F197" s="27">
        <v>0.37705499999999997</v>
      </c>
      <c r="G197" s="28" t="s">
        <v>648</v>
      </c>
      <c r="H197" s="26" t="str">
        <f>IFERROR(INDEX(REALDATA!$C$2:$C$1048576,MATCH(G197,REALDATA!$B$2:$B$1048576,0)),"122/UD")</f>
        <v>122/UD</v>
      </c>
      <c r="I197" s="28" t="s">
        <v>649</v>
      </c>
      <c r="J197" s="26" t="s">
        <v>387</v>
      </c>
      <c r="K197" s="28" t="s">
        <v>650</v>
      </c>
      <c r="L197" s="28"/>
      <c r="M197" s="28"/>
      <c r="N197" s="26"/>
      <c r="O197" s="27" t="str">
        <f t="shared" si="2"/>
        <v/>
      </c>
      <c r="P197" s="26"/>
    </row>
    <row r="198" spans="1:16" ht="15.95" customHeight="1" x14ac:dyDescent="0.25">
      <c r="A198" s="26">
        <v>185</v>
      </c>
      <c r="B198" s="30">
        <v>46232</v>
      </c>
      <c r="C198" s="32" t="s">
        <v>13</v>
      </c>
      <c r="D198" s="34"/>
      <c r="E198" s="36"/>
      <c r="F198" s="27">
        <v>0.27738000000000002</v>
      </c>
      <c r="G198" s="28" t="s">
        <v>640</v>
      </c>
      <c r="H198" s="26" t="str">
        <f>IFERROR(INDEX(REALDATA!$C$2:$C$1048576,MATCH(G198,REALDATA!$B$2:$B$1048576,0)),"017/TC")</f>
        <v>017/TC</v>
      </c>
      <c r="I198" s="28" t="s">
        <v>628</v>
      </c>
      <c r="J198" s="26" t="s">
        <v>387</v>
      </c>
      <c r="K198" s="28" t="s">
        <v>651</v>
      </c>
      <c r="L198" s="28"/>
      <c r="M198" s="28"/>
      <c r="N198" s="26"/>
      <c r="O198" s="27" t="str">
        <f t="shared" si="2"/>
        <v/>
      </c>
      <c r="P198" s="26"/>
    </row>
    <row r="199" spans="1:16" ht="15.95" customHeight="1" x14ac:dyDescent="0.25">
      <c r="A199" s="26">
        <v>186</v>
      </c>
      <c r="B199" s="30">
        <v>46240</v>
      </c>
      <c r="C199" s="32" t="s">
        <v>13</v>
      </c>
      <c r="D199" s="34"/>
      <c r="E199" s="36"/>
      <c r="F199" s="27">
        <v>0.34239999999999998</v>
      </c>
      <c r="G199" s="28" t="s">
        <v>652</v>
      </c>
      <c r="H199" s="26" t="str">
        <f>IFERROR(INDEX(REALDATA!$C$2:$C$1048576,MATCH(G199,REALDATA!$B$2:$B$1048576,0)),"000/ELM")</f>
        <v>000/ELM</v>
      </c>
      <c r="I199" s="28" t="s">
        <v>607</v>
      </c>
      <c r="J199" s="26" t="s">
        <v>387</v>
      </c>
      <c r="K199" s="28" t="s">
        <v>653</v>
      </c>
      <c r="L199" s="28"/>
      <c r="M199" s="28"/>
      <c r="N199" s="26"/>
      <c r="O199" s="27" t="str">
        <f t="shared" si="2"/>
        <v/>
      </c>
      <c r="P199" s="26"/>
    </row>
    <row r="200" spans="1:16" ht="15.95" customHeight="1" x14ac:dyDescent="0.25">
      <c r="A200" s="26">
        <v>187</v>
      </c>
      <c r="B200" s="30">
        <v>46241</v>
      </c>
      <c r="C200" s="32" t="s">
        <v>13</v>
      </c>
      <c r="D200" s="34"/>
      <c r="E200" s="36"/>
      <c r="F200" s="27">
        <v>0.19186</v>
      </c>
      <c r="G200" s="28" t="s">
        <v>652</v>
      </c>
      <c r="H200" s="26" t="str">
        <f>IFERROR(INDEX(REALDATA!$C$2:$C$1048576,MATCH(G200,REALDATA!$B$2:$B$1048576,0)),"000/ELM")</f>
        <v>000/ELM</v>
      </c>
      <c r="I200" s="28" t="s">
        <v>607</v>
      </c>
      <c r="J200" s="26" t="s">
        <v>387</v>
      </c>
      <c r="K200" s="28" t="s">
        <v>654</v>
      </c>
      <c r="L200" s="28"/>
      <c r="M200" s="28"/>
      <c r="N200" s="26"/>
      <c r="O200" s="27" t="str">
        <f t="shared" si="2"/>
        <v/>
      </c>
      <c r="P200" s="26"/>
    </row>
    <row r="201" spans="1:16" ht="15.95" customHeight="1" x14ac:dyDescent="0.25">
      <c r="A201" s="26">
        <v>188</v>
      </c>
      <c r="B201" s="30">
        <v>46241</v>
      </c>
      <c r="C201" s="32" t="s">
        <v>13</v>
      </c>
      <c r="D201" s="34"/>
      <c r="E201" s="36"/>
      <c r="F201" s="27">
        <v>0.33733000000000002</v>
      </c>
      <c r="G201" s="28" t="s">
        <v>582</v>
      </c>
      <c r="H201" s="26" t="str">
        <f>IFERROR(INDEX(REALDATA!$C$2:$C$1048576,MATCH(G201,REALDATA!$B$2:$B$1048576,0)),"115/PA")</f>
        <v>115/PA</v>
      </c>
      <c r="I201" s="28" t="s">
        <v>603</v>
      </c>
      <c r="J201" s="26" t="s">
        <v>387</v>
      </c>
      <c r="K201" s="28" t="s">
        <v>655</v>
      </c>
      <c r="L201" s="28"/>
      <c r="M201" s="28"/>
      <c r="N201" s="26"/>
      <c r="O201" s="27" t="str">
        <f t="shared" si="2"/>
        <v/>
      </c>
      <c r="P201" s="26"/>
    </row>
    <row r="202" spans="1:16" ht="15.95" customHeight="1" x14ac:dyDescent="0.25">
      <c r="A202" s="26">
        <v>189</v>
      </c>
      <c r="B202" s="30">
        <v>46242</v>
      </c>
      <c r="C202" s="32" t="s">
        <v>13</v>
      </c>
      <c r="D202" s="34"/>
      <c r="E202" s="36"/>
      <c r="F202" s="27">
        <v>0.50380000000000003</v>
      </c>
      <c r="G202" s="28" t="s">
        <v>656</v>
      </c>
      <c r="H202" s="26" t="str">
        <f>IFERROR(INDEX(REALDATA!$C$2:$C$1048576,MATCH(G202,REALDATA!$B$2:$B$1048576,0)),"094/DO")</f>
        <v>094/DO</v>
      </c>
      <c r="I202" s="28" t="s">
        <v>657</v>
      </c>
      <c r="J202" s="26" t="s">
        <v>387</v>
      </c>
      <c r="K202" s="28" t="s">
        <v>658</v>
      </c>
      <c r="L202" s="28"/>
      <c r="M202" s="28"/>
      <c r="N202" s="26"/>
      <c r="O202" s="27" t="str">
        <f t="shared" si="2"/>
        <v/>
      </c>
      <c r="P202" s="26"/>
    </row>
    <row r="203" spans="1:16" ht="15.95" customHeight="1" x14ac:dyDescent="0.25">
      <c r="A203" s="26">
        <v>190</v>
      </c>
      <c r="B203" s="30">
        <v>46242</v>
      </c>
      <c r="C203" s="32" t="s">
        <v>13</v>
      </c>
      <c r="D203" s="34"/>
      <c r="E203" s="36"/>
      <c r="F203" s="27">
        <v>0.52880000000000005</v>
      </c>
      <c r="G203" s="28" t="s">
        <v>659</v>
      </c>
      <c r="H203" s="26" t="str">
        <f>IFERROR(INDEX(REALDATA!$C$2:$C$1048576,MATCH(G203,REALDATA!$B$2:$B$1048576,0)),"125/FJ")</f>
        <v>125/FJ</v>
      </c>
      <c r="I203" s="28" t="s">
        <v>605</v>
      </c>
      <c r="J203" s="26" t="s">
        <v>387</v>
      </c>
      <c r="K203" s="28" t="s">
        <v>660</v>
      </c>
      <c r="L203" s="28"/>
      <c r="M203" s="28"/>
      <c r="N203" s="26"/>
      <c r="O203" s="27" t="str">
        <f t="shared" si="2"/>
        <v/>
      </c>
      <c r="P203" s="26"/>
    </row>
    <row r="204" spans="1:16" ht="15.95" customHeight="1" x14ac:dyDescent="0.25">
      <c r="A204" s="26">
        <v>191</v>
      </c>
      <c r="B204" s="30">
        <v>46242</v>
      </c>
      <c r="C204" s="32" t="s">
        <v>13</v>
      </c>
      <c r="D204" s="34"/>
      <c r="E204" s="36"/>
      <c r="F204" s="27">
        <v>0.104</v>
      </c>
      <c r="G204" s="28" t="s">
        <v>652</v>
      </c>
      <c r="H204" s="26" t="str">
        <f>IFERROR(INDEX(REALDATA!$C$2:$C$1048576,MATCH(G204,REALDATA!$B$2:$B$1048576,0)),"000/ELM")</f>
        <v>000/ELM</v>
      </c>
      <c r="I204" s="28" t="s">
        <v>607</v>
      </c>
      <c r="J204" s="26" t="s">
        <v>387</v>
      </c>
      <c r="K204" s="28" t="s">
        <v>661</v>
      </c>
      <c r="L204" s="28"/>
      <c r="M204" s="28"/>
      <c r="N204" s="26"/>
      <c r="O204" s="27" t="str">
        <f t="shared" si="2"/>
        <v/>
      </c>
      <c r="P204" s="26"/>
    </row>
    <row r="205" spans="1:16" ht="15.95" customHeight="1" x14ac:dyDescent="0.25">
      <c r="A205" s="26">
        <v>192</v>
      </c>
      <c r="B205" s="30">
        <v>46243</v>
      </c>
      <c r="C205" s="32" t="s">
        <v>13</v>
      </c>
      <c r="D205" s="34"/>
      <c r="E205" s="36"/>
      <c r="F205" s="27">
        <v>0.39600000000000002</v>
      </c>
      <c r="G205" s="28" t="s">
        <v>659</v>
      </c>
      <c r="H205" s="26" t="str">
        <f>IFERROR(INDEX(REALDATA!$C$2:$C$1048576,MATCH(G205,REALDATA!$B$2:$B$1048576,0)),"125/FJ")</f>
        <v>125/FJ</v>
      </c>
      <c r="I205" s="28" t="s">
        <v>605</v>
      </c>
      <c r="J205" s="26" t="s">
        <v>387</v>
      </c>
      <c r="K205" s="28" t="s">
        <v>662</v>
      </c>
      <c r="L205" s="28"/>
      <c r="M205" s="28"/>
      <c r="N205" s="26"/>
      <c r="O205" s="27" t="str">
        <f t="shared" si="2"/>
        <v/>
      </c>
      <c r="P205" s="26"/>
    </row>
    <row r="206" spans="1:16" ht="15.95" customHeight="1" x14ac:dyDescent="0.25">
      <c r="A206" s="26">
        <v>193</v>
      </c>
      <c r="B206" s="30">
        <v>46243</v>
      </c>
      <c r="C206" s="32" t="s">
        <v>13</v>
      </c>
      <c r="D206" s="34"/>
      <c r="E206" s="36"/>
      <c r="F206" s="27">
        <v>2.7673999999999999</v>
      </c>
      <c r="G206" s="28" t="s">
        <v>659</v>
      </c>
      <c r="H206" s="26" t="str">
        <f>IFERROR(INDEX(REALDATA!$C$2:$C$1048576,MATCH(G206,REALDATA!$B$2:$B$1048576,0)),"125/FJ")</f>
        <v>125/FJ</v>
      </c>
      <c r="I206" s="28" t="s">
        <v>607</v>
      </c>
      <c r="J206" s="26" t="s">
        <v>387</v>
      </c>
      <c r="K206" s="28" t="s">
        <v>663</v>
      </c>
      <c r="L206" s="28"/>
      <c r="M206" s="28"/>
      <c r="N206" s="26"/>
      <c r="O206" s="27" t="str">
        <f t="shared" ref="O206:O269" si="3">IF(AND(L206="Adjustment",N206="",P206&lt;&gt;"Explained"),F206+SUMIFS($F$14:$F$5084,$N$14:$N$5084,A206,$L$14:$L$5084,"Adjustment"),"")</f>
        <v/>
      </c>
      <c r="P206" s="26"/>
    </row>
    <row r="207" spans="1:16" ht="15.95" customHeight="1" x14ac:dyDescent="0.25">
      <c r="A207" s="26">
        <v>194</v>
      </c>
      <c r="B207" s="30">
        <v>46244</v>
      </c>
      <c r="C207" s="32" t="s">
        <v>13</v>
      </c>
      <c r="D207" s="34"/>
      <c r="E207" s="36"/>
      <c r="F207" s="27">
        <v>0.9264</v>
      </c>
      <c r="G207" s="28" t="s">
        <v>659</v>
      </c>
      <c r="H207" s="26" t="str">
        <f>IFERROR(INDEX(REALDATA!$C$2:$C$1048576,MATCH(G207,REALDATA!$B$2:$B$1048576,0)),"125/FJ")</f>
        <v>125/FJ</v>
      </c>
      <c r="I207" s="28" t="s">
        <v>605</v>
      </c>
      <c r="J207" s="26" t="s">
        <v>387</v>
      </c>
      <c r="K207" s="28" t="s">
        <v>664</v>
      </c>
      <c r="L207" s="28"/>
      <c r="M207" s="28"/>
      <c r="N207" s="26"/>
      <c r="O207" s="27" t="str">
        <f t="shared" si="3"/>
        <v/>
      </c>
      <c r="P207" s="26"/>
    </row>
    <row r="208" spans="1:16" ht="15.95" customHeight="1" x14ac:dyDescent="0.25">
      <c r="A208" s="26">
        <v>195</v>
      </c>
      <c r="B208" s="30">
        <v>46244</v>
      </c>
      <c r="C208" s="32" t="s">
        <v>13</v>
      </c>
      <c r="D208" s="34"/>
      <c r="E208" s="36"/>
      <c r="F208" s="27">
        <v>0.92269999999999996</v>
      </c>
      <c r="G208" s="28" t="s">
        <v>659</v>
      </c>
      <c r="H208" s="26" t="str">
        <f>IFERROR(INDEX(REALDATA!$C$2:$C$1048576,MATCH(G208,REALDATA!$B$2:$B$1048576,0)),"125/FJ")</f>
        <v>125/FJ</v>
      </c>
      <c r="I208" s="28" t="s">
        <v>607</v>
      </c>
      <c r="J208" s="26" t="s">
        <v>387</v>
      </c>
      <c r="K208" s="28" t="s">
        <v>665</v>
      </c>
      <c r="L208" s="28"/>
      <c r="M208" s="28"/>
      <c r="N208" s="26"/>
      <c r="O208" s="27" t="str">
        <f t="shared" si="3"/>
        <v/>
      </c>
      <c r="P208" s="26"/>
    </row>
    <row r="209" spans="1:16" ht="15.95" customHeight="1" x14ac:dyDescent="0.25">
      <c r="A209" s="26">
        <v>196</v>
      </c>
      <c r="B209" s="30">
        <v>46245</v>
      </c>
      <c r="C209" s="32" t="s">
        <v>13</v>
      </c>
      <c r="D209" s="34"/>
      <c r="E209" s="36"/>
      <c r="F209" s="27">
        <v>1.3880999999999999</v>
      </c>
      <c r="G209" s="28" t="s">
        <v>659</v>
      </c>
      <c r="H209" s="26" t="str">
        <f>IFERROR(INDEX(REALDATA!$C$2:$C$1048576,MATCH(G209,REALDATA!$B$2:$B$1048576,0)),"125/FJ")</f>
        <v>125/FJ</v>
      </c>
      <c r="I209" s="28" t="s">
        <v>666</v>
      </c>
      <c r="J209" s="26" t="s">
        <v>387</v>
      </c>
      <c r="K209" s="28" t="s">
        <v>667</v>
      </c>
      <c r="L209" s="28"/>
      <c r="M209" s="28"/>
      <c r="N209" s="26"/>
      <c r="O209" s="27" t="str">
        <f t="shared" si="3"/>
        <v/>
      </c>
      <c r="P209" s="26"/>
    </row>
    <row r="210" spans="1:16" ht="15.95" customHeight="1" x14ac:dyDescent="0.25">
      <c r="A210" s="26">
        <v>197</v>
      </c>
      <c r="B210" s="30">
        <v>46245</v>
      </c>
      <c r="C210" s="32" t="s">
        <v>13</v>
      </c>
      <c r="D210" s="34"/>
      <c r="E210" s="36"/>
      <c r="F210" s="27">
        <v>0.90510000000000002</v>
      </c>
      <c r="G210" s="28" t="s">
        <v>656</v>
      </c>
      <c r="H210" s="26" t="str">
        <f>IFERROR(INDEX(REALDATA!$C$2:$C$1048576,MATCH(G210,REALDATA!$B$2:$B$1048576,0)),"094/DO")</f>
        <v>094/DO</v>
      </c>
      <c r="I210" s="28" t="s">
        <v>668</v>
      </c>
      <c r="J210" s="26" t="s">
        <v>387</v>
      </c>
      <c r="K210" s="28" t="s">
        <v>669</v>
      </c>
      <c r="L210" s="28"/>
      <c r="M210" s="28"/>
      <c r="N210" s="26"/>
      <c r="O210" s="27" t="str">
        <f t="shared" si="3"/>
        <v/>
      </c>
      <c r="P210" s="26"/>
    </row>
    <row r="211" spans="1:16" ht="15.95" customHeight="1" x14ac:dyDescent="0.25">
      <c r="A211" s="26">
        <v>198</v>
      </c>
      <c r="B211" s="30">
        <v>46245</v>
      </c>
      <c r="C211" s="32" t="s">
        <v>13</v>
      </c>
      <c r="D211" s="34"/>
      <c r="E211" s="36"/>
      <c r="F211" s="27">
        <v>0.33600000000000002</v>
      </c>
      <c r="G211" s="28" t="s">
        <v>640</v>
      </c>
      <c r="H211" s="26" t="str">
        <f>IFERROR(INDEX(REALDATA!$C$2:$C$1048576,MATCH(G211,REALDATA!$B$2:$B$1048576,0)),"017/TC")</f>
        <v>017/TC</v>
      </c>
      <c r="I211" s="28" t="s">
        <v>670</v>
      </c>
      <c r="J211" s="26" t="s">
        <v>387</v>
      </c>
      <c r="K211" s="28" t="s">
        <v>671</v>
      </c>
      <c r="L211" s="28"/>
      <c r="M211" s="28"/>
      <c r="N211" s="26"/>
      <c r="O211" s="27" t="str">
        <f t="shared" si="3"/>
        <v/>
      </c>
      <c r="P211" s="26"/>
    </row>
    <row r="212" spans="1:16" ht="15.95" customHeight="1" x14ac:dyDescent="0.25">
      <c r="A212" s="26">
        <v>199</v>
      </c>
      <c r="B212" s="30">
        <v>46246</v>
      </c>
      <c r="C212" s="32" t="s">
        <v>13</v>
      </c>
      <c r="D212" s="34"/>
      <c r="E212" s="36"/>
      <c r="F212" s="27">
        <v>1.356895</v>
      </c>
      <c r="G212" s="28" t="s">
        <v>656</v>
      </c>
      <c r="H212" s="26" t="str">
        <f>IFERROR(INDEX(REALDATA!$C$2:$C$1048576,MATCH(G212,REALDATA!$B$2:$B$1048576,0)),"094/DO")</f>
        <v>094/DO</v>
      </c>
      <c r="I212" s="28" t="s">
        <v>657</v>
      </c>
      <c r="J212" s="26" t="s">
        <v>387</v>
      </c>
      <c r="K212" s="28" t="s">
        <v>672</v>
      </c>
      <c r="L212" s="28"/>
      <c r="M212" s="28"/>
      <c r="N212" s="26"/>
      <c r="O212" s="27" t="str">
        <f t="shared" si="3"/>
        <v/>
      </c>
      <c r="P212" s="26"/>
    </row>
    <row r="213" spans="1:16" ht="15.95" customHeight="1" x14ac:dyDescent="0.25">
      <c r="A213" s="26">
        <v>200</v>
      </c>
      <c r="B213" s="30">
        <v>46246</v>
      </c>
      <c r="C213" s="32" t="s">
        <v>13</v>
      </c>
      <c r="D213" s="34"/>
      <c r="E213" s="36"/>
      <c r="F213" s="27">
        <v>0.29849999999999999</v>
      </c>
      <c r="G213" s="28" t="s">
        <v>659</v>
      </c>
      <c r="H213" s="26" t="str">
        <f>IFERROR(INDEX(REALDATA!$C$2:$C$1048576,MATCH(G213,REALDATA!$B$2:$B$1048576,0)),"125/FJ")</f>
        <v>125/FJ</v>
      </c>
      <c r="I213" s="28" t="s">
        <v>605</v>
      </c>
      <c r="J213" s="26" t="s">
        <v>387</v>
      </c>
      <c r="K213" s="28" t="s">
        <v>673</v>
      </c>
      <c r="L213" s="28"/>
      <c r="M213" s="28"/>
      <c r="N213" s="26"/>
      <c r="O213" s="27" t="str">
        <f t="shared" si="3"/>
        <v/>
      </c>
      <c r="P213" s="26"/>
    </row>
    <row r="214" spans="1:16" ht="15.95" customHeight="1" x14ac:dyDescent="0.25">
      <c r="A214" s="26">
        <v>201</v>
      </c>
      <c r="B214" s="30">
        <v>46247</v>
      </c>
      <c r="C214" s="32" t="s">
        <v>13</v>
      </c>
      <c r="D214" s="34"/>
      <c r="E214" s="36"/>
      <c r="F214" s="27">
        <v>0.70657999999999999</v>
      </c>
      <c r="G214" s="28" t="s">
        <v>656</v>
      </c>
      <c r="H214" s="26" t="str">
        <f>IFERROR(INDEX(REALDATA!$C$2:$C$1048576,MATCH(G214,REALDATA!$B$2:$B$1048576,0)),"094/DO")</f>
        <v>094/DO</v>
      </c>
      <c r="I214" s="28" t="s">
        <v>668</v>
      </c>
      <c r="J214" s="26" t="s">
        <v>387</v>
      </c>
      <c r="K214" s="28" t="s">
        <v>674</v>
      </c>
      <c r="L214" s="28"/>
      <c r="M214" s="28"/>
      <c r="N214" s="26"/>
      <c r="O214" s="27" t="str">
        <f t="shared" si="3"/>
        <v/>
      </c>
      <c r="P214" s="26"/>
    </row>
    <row r="215" spans="1:16" ht="15.95" customHeight="1" x14ac:dyDescent="0.25">
      <c r="A215" s="26">
        <v>202</v>
      </c>
      <c r="B215" s="30">
        <v>46247</v>
      </c>
      <c r="C215" s="32" t="s">
        <v>13</v>
      </c>
      <c r="D215" s="34"/>
      <c r="E215" s="36"/>
      <c r="F215" s="27">
        <v>0.81062999999999996</v>
      </c>
      <c r="G215" s="28" t="s">
        <v>656</v>
      </c>
      <c r="H215" s="26" t="str">
        <f>IFERROR(INDEX(REALDATA!$C$2:$C$1048576,MATCH(G215,REALDATA!$B$2:$B$1048576,0)),"094/DO")</f>
        <v>094/DO</v>
      </c>
      <c r="I215" s="28" t="s">
        <v>657</v>
      </c>
      <c r="J215" s="26" t="s">
        <v>387</v>
      </c>
      <c r="K215" s="28" t="s">
        <v>675</v>
      </c>
      <c r="L215" s="28"/>
      <c r="M215" s="28"/>
      <c r="N215" s="26"/>
      <c r="O215" s="27" t="str">
        <f t="shared" si="3"/>
        <v/>
      </c>
      <c r="P215" s="26"/>
    </row>
    <row r="216" spans="1:16" ht="15.95" customHeight="1" x14ac:dyDescent="0.25">
      <c r="A216" s="26">
        <v>203</v>
      </c>
      <c r="B216" s="30">
        <v>46248</v>
      </c>
      <c r="C216" s="32" t="s">
        <v>13</v>
      </c>
      <c r="D216" s="34"/>
      <c r="E216" s="36"/>
      <c r="F216" s="27">
        <v>0.16320000000000001</v>
      </c>
      <c r="G216" s="28" t="s">
        <v>656</v>
      </c>
      <c r="H216" s="26" t="str">
        <f>IFERROR(INDEX(REALDATA!$C$2:$C$1048576,MATCH(G216,REALDATA!$B$2:$B$1048576,0)),"094/DO")</f>
        <v>094/DO</v>
      </c>
      <c r="I216" s="28" t="s">
        <v>657</v>
      </c>
      <c r="J216" s="26" t="s">
        <v>387</v>
      </c>
      <c r="K216" s="28" t="s">
        <v>676</v>
      </c>
      <c r="L216" s="28"/>
      <c r="M216" s="28"/>
      <c r="N216" s="26"/>
      <c r="O216" s="27" t="str">
        <f t="shared" si="3"/>
        <v/>
      </c>
      <c r="P216" s="26"/>
    </row>
    <row r="217" spans="1:16" ht="15.95" customHeight="1" x14ac:dyDescent="0.25">
      <c r="A217" s="26">
        <v>204</v>
      </c>
      <c r="B217" s="30">
        <v>46249</v>
      </c>
      <c r="C217" s="32" t="s">
        <v>13</v>
      </c>
      <c r="D217" s="34"/>
      <c r="E217" s="36"/>
      <c r="F217" s="27">
        <v>0.84613499999999997</v>
      </c>
      <c r="G217" s="28" t="s">
        <v>656</v>
      </c>
      <c r="H217" s="26" t="str">
        <f>IFERROR(INDEX(REALDATA!$C$2:$C$1048576,MATCH(G217,REALDATA!$B$2:$B$1048576,0)),"094/DO")</f>
        <v>094/DO</v>
      </c>
      <c r="I217" s="28" t="s">
        <v>657</v>
      </c>
      <c r="J217" s="26" t="s">
        <v>387</v>
      </c>
      <c r="K217" s="28" t="s">
        <v>677</v>
      </c>
      <c r="L217" s="28"/>
      <c r="M217" s="28"/>
      <c r="N217" s="26"/>
      <c r="O217" s="27" t="str">
        <f t="shared" si="3"/>
        <v/>
      </c>
      <c r="P217" s="26"/>
    </row>
    <row r="218" spans="1:16" ht="15.95" customHeight="1" x14ac:dyDescent="0.25">
      <c r="A218" s="26">
        <v>205</v>
      </c>
      <c r="B218" s="30">
        <v>46251</v>
      </c>
      <c r="C218" s="32" t="s">
        <v>13</v>
      </c>
      <c r="D218" s="34"/>
      <c r="E218" s="36"/>
      <c r="F218" s="27">
        <v>0.391125</v>
      </c>
      <c r="G218" s="28" t="s">
        <v>656</v>
      </c>
      <c r="H218" s="26" t="str">
        <f>IFERROR(INDEX(REALDATA!$C$2:$C$1048576,MATCH(G218,REALDATA!$B$2:$B$1048576,0)),"094/DO")</f>
        <v>094/DO</v>
      </c>
      <c r="I218" s="28" t="s">
        <v>668</v>
      </c>
      <c r="J218" s="26" t="s">
        <v>387</v>
      </c>
      <c r="K218" s="28" t="s">
        <v>678</v>
      </c>
      <c r="L218" s="28"/>
      <c r="M218" s="28"/>
      <c r="N218" s="26"/>
      <c r="O218" s="27" t="str">
        <f t="shared" si="3"/>
        <v/>
      </c>
      <c r="P218" s="26"/>
    </row>
    <row r="219" spans="1:16" ht="15.95" customHeight="1" x14ac:dyDescent="0.25">
      <c r="A219" s="26">
        <v>206</v>
      </c>
      <c r="B219" s="30">
        <v>46251</v>
      </c>
      <c r="C219" s="32" t="s">
        <v>13</v>
      </c>
      <c r="D219" s="34"/>
      <c r="E219" s="36"/>
      <c r="F219" s="27">
        <v>0.28308</v>
      </c>
      <c r="G219" s="28" t="s">
        <v>656</v>
      </c>
      <c r="H219" s="26" t="str">
        <f>IFERROR(INDEX(REALDATA!$C$2:$C$1048576,MATCH(G219,REALDATA!$B$2:$B$1048576,0)),"094/DO")</f>
        <v>094/DO</v>
      </c>
      <c r="I219" s="28" t="s">
        <v>679</v>
      </c>
      <c r="J219" s="26" t="s">
        <v>387</v>
      </c>
      <c r="K219" s="28" t="s">
        <v>680</v>
      </c>
      <c r="L219" s="28"/>
      <c r="M219" s="28"/>
      <c r="N219" s="26"/>
      <c r="O219" s="27" t="str">
        <f t="shared" si="3"/>
        <v/>
      </c>
      <c r="P219" s="26"/>
    </row>
    <row r="220" spans="1:16" ht="15.95" customHeight="1" x14ac:dyDescent="0.25">
      <c r="A220" s="26">
        <v>207</v>
      </c>
      <c r="B220" s="30">
        <v>46252</v>
      </c>
      <c r="C220" s="32" t="s">
        <v>13</v>
      </c>
      <c r="D220" s="34"/>
      <c r="E220" s="36"/>
      <c r="F220" s="27">
        <v>0.37614500000000001</v>
      </c>
      <c r="G220" s="28" t="s">
        <v>656</v>
      </c>
      <c r="H220" s="26" t="str">
        <f>IFERROR(INDEX(REALDATA!$C$2:$C$1048576,MATCH(G220,REALDATA!$B$2:$B$1048576,0)),"094/DO")</f>
        <v>094/DO</v>
      </c>
      <c r="I220" s="28" t="s">
        <v>657</v>
      </c>
      <c r="J220" s="26" t="s">
        <v>387</v>
      </c>
      <c r="K220" s="28" t="s">
        <v>681</v>
      </c>
      <c r="L220" s="28"/>
      <c r="M220" s="28"/>
      <c r="N220" s="26"/>
      <c r="O220" s="27" t="str">
        <f t="shared" si="3"/>
        <v/>
      </c>
      <c r="P220" s="26"/>
    </row>
    <row r="221" spans="1:16" ht="15.95" customHeight="1" x14ac:dyDescent="0.25">
      <c r="A221" s="26">
        <v>208</v>
      </c>
      <c r="B221" s="30">
        <v>46253</v>
      </c>
      <c r="C221" s="32" t="s">
        <v>13</v>
      </c>
      <c r="D221" s="34"/>
      <c r="E221" s="36"/>
      <c r="F221" s="27">
        <v>0.63402499999999995</v>
      </c>
      <c r="G221" s="28" t="s">
        <v>656</v>
      </c>
      <c r="H221" s="26" t="str">
        <f>IFERROR(INDEX(REALDATA!$C$2:$C$1048576,MATCH(G221,REALDATA!$B$2:$B$1048576,0)),"094/DO")</f>
        <v>094/DO</v>
      </c>
      <c r="I221" s="28" t="s">
        <v>668</v>
      </c>
      <c r="J221" s="26" t="s">
        <v>387</v>
      </c>
      <c r="K221" s="28" t="s">
        <v>682</v>
      </c>
      <c r="L221" s="28"/>
      <c r="M221" s="28"/>
      <c r="N221" s="26"/>
      <c r="O221" s="27" t="str">
        <f t="shared" si="3"/>
        <v/>
      </c>
      <c r="P221" s="26"/>
    </row>
    <row r="222" spans="1:16" ht="15.95" customHeight="1" x14ac:dyDescent="0.25">
      <c r="A222" s="26">
        <v>209</v>
      </c>
      <c r="B222" s="30">
        <v>46254</v>
      </c>
      <c r="C222" s="32" t="s">
        <v>13</v>
      </c>
      <c r="D222" s="34"/>
      <c r="E222" s="36"/>
      <c r="F222" s="27">
        <v>0.50766999999999995</v>
      </c>
      <c r="G222" s="28" t="s">
        <v>656</v>
      </c>
      <c r="H222" s="26" t="str">
        <f>IFERROR(INDEX(REALDATA!$C$2:$C$1048576,MATCH(G222,REALDATA!$B$2:$B$1048576,0)),"094/DO")</f>
        <v>094/DO</v>
      </c>
      <c r="I222" s="28" t="s">
        <v>679</v>
      </c>
      <c r="J222" s="26" t="s">
        <v>387</v>
      </c>
      <c r="K222" s="28" t="s">
        <v>683</v>
      </c>
      <c r="L222" s="28"/>
      <c r="M222" s="28"/>
      <c r="N222" s="26"/>
      <c r="O222" s="27" t="str">
        <f t="shared" si="3"/>
        <v/>
      </c>
      <c r="P222" s="26"/>
    </row>
    <row r="223" spans="1:16" ht="15.95" customHeight="1" x14ac:dyDescent="0.25">
      <c r="A223" s="26">
        <v>210</v>
      </c>
      <c r="B223" s="30">
        <v>46255</v>
      </c>
      <c r="C223" s="32" t="s">
        <v>13</v>
      </c>
      <c r="D223" s="34"/>
      <c r="E223" s="36"/>
      <c r="F223" s="27">
        <v>0.18411</v>
      </c>
      <c r="G223" s="28" t="s">
        <v>656</v>
      </c>
      <c r="H223" s="26" t="str">
        <f>IFERROR(INDEX(REALDATA!$C$2:$C$1048576,MATCH(G223,REALDATA!$B$2:$B$1048576,0)),"094/DO")</f>
        <v>094/DO</v>
      </c>
      <c r="I223" s="28" t="s">
        <v>668</v>
      </c>
      <c r="J223" s="26" t="s">
        <v>387</v>
      </c>
      <c r="K223" s="28" t="s">
        <v>684</v>
      </c>
      <c r="L223" s="28"/>
      <c r="M223" s="28"/>
      <c r="N223" s="26"/>
      <c r="O223" s="27" t="str">
        <f t="shared" si="3"/>
        <v/>
      </c>
      <c r="P223" s="26"/>
    </row>
    <row r="224" spans="1:16" ht="15.95" customHeight="1" x14ac:dyDescent="0.25">
      <c r="A224" s="26">
        <v>211</v>
      </c>
      <c r="B224" s="30">
        <v>46255</v>
      </c>
      <c r="C224" s="32" t="s">
        <v>13</v>
      </c>
      <c r="D224" s="34"/>
      <c r="E224" s="36"/>
      <c r="F224" s="27">
        <v>0.16919999999999999</v>
      </c>
      <c r="G224" s="28" t="s">
        <v>659</v>
      </c>
      <c r="H224" s="26" t="str">
        <f>IFERROR(INDEX(REALDATA!$C$2:$C$1048576,MATCH(G224,REALDATA!$B$2:$B$1048576,0)),"125/FJ")</f>
        <v>125/FJ</v>
      </c>
      <c r="I224" s="28" t="s">
        <v>666</v>
      </c>
      <c r="J224" s="26" t="s">
        <v>387</v>
      </c>
      <c r="K224" s="28" t="s">
        <v>685</v>
      </c>
      <c r="L224" s="28"/>
      <c r="M224" s="28"/>
      <c r="N224" s="26"/>
      <c r="O224" s="27" t="str">
        <f t="shared" si="3"/>
        <v/>
      </c>
      <c r="P224" s="26"/>
    </row>
    <row r="225" spans="1:16" ht="15.95" customHeight="1" x14ac:dyDescent="0.25">
      <c r="A225" s="26">
        <v>212</v>
      </c>
      <c r="B225" s="30">
        <v>46256</v>
      </c>
      <c r="C225" s="32" t="s">
        <v>13</v>
      </c>
      <c r="D225" s="34"/>
      <c r="E225" s="36"/>
      <c r="F225" s="27">
        <v>0.35966500000000001</v>
      </c>
      <c r="G225" s="28" t="s">
        <v>656</v>
      </c>
      <c r="H225" s="26" t="str">
        <f>IFERROR(INDEX(REALDATA!$C$2:$C$1048576,MATCH(G225,REALDATA!$B$2:$B$1048576,0)),"094/DO")</f>
        <v>094/DO</v>
      </c>
      <c r="I225" s="28" t="s">
        <v>679</v>
      </c>
      <c r="J225" s="26" t="s">
        <v>387</v>
      </c>
      <c r="K225" s="28" t="s">
        <v>686</v>
      </c>
      <c r="L225" s="28"/>
      <c r="M225" s="28"/>
      <c r="N225" s="26"/>
      <c r="O225" s="27" t="str">
        <f t="shared" si="3"/>
        <v/>
      </c>
      <c r="P225" s="26"/>
    </row>
    <row r="226" spans="1:16" ht="15.95" customHeight="1" x14ac:dyDescent="0.25">
      <c r="A226" s="26">
        <v>213</v>
      </c>
      <c r="B226" s="30">
        <v>46256</v>
      </c>
      <c r="C226" s="32" t="s">
        <v>13</v>
      </c>
      <c r="D226" s="34"/>
      <c r="E226" s="36"/>
      <c r="F226" s="27">
        <v>7.0400000000000004E-2</v>
      </c>
      <c r="G226" s="28" t="s">
        <v>659</v>
      </c>
      <c r="H226" s="26" t="str">
        <f>IFERROR(INDEX(REALDATA!$C$2:$C$1048576,MATCH(G226,REALDATA!$B$2:$B$1048576,0)),"125/FJ")</f>
        <v>125/FJ</v>
      </c>
      <c r="I226" s="28" t="s">
        <v>666</v>
      </c>
      <c r="J226" s="26" t="s">
        <v>387</v>
      </c>
      <c r="K226" s="28" t="s">
        <v>687</v>
      </c>
      <c r="L226" s="28"/>
      <c r="M226" s="28"/>
      <c r="N226" s="26"/>
      <c r="O226" s="27" t="str">
        <f t="shared" si="3"/>
        <v/>
      </c>
      <c r="P226" s="26"/>
    </row>
    <row r="227" spans="1:16" ht="15.95" customHeight="1" x14ac:dyDescent="0.25">
      <c r="A227" s="26">
        <v>214</v>
      </c>
      <c r="B227" s="30">
        <v>46256</v>
      </c>
      <c r="C227" s="32" t="s">
        <v>13</v>
      </c>
      <c r="D227" s="34"/>
      <c r="E227" s="36"/>
      <c r="F227" s="27">
        <v>0.47065499999999999</v>
      </c>
      <c r="G227" s="28"/>
      <c r="H227" s="26"/>
      <c r="I227" s="28" t="s">
        <v>657</v>
      </c>
      <c r="J227" s="26" t="s">
        <v>387</v>
      </c>
      <c r="K227" s="28" t="s">
        <v>688</v>
      </c>
      <c r="L227" s="28"/>
      <c r="M227" s="28"/>
      <c r="N227" s="26"/>
      <c r="O227" s="27" t="str">
        <f t="shared" si="3"/>
        <v/>
      </c>
      <c r="P227" s="26"/>
    </row>
    <row r="228" spans="1:16" ht="15.95" customHeight="1" x14ac:dyDescent="0.25">
      <c r="A228" s="26">
        <v>215</v>
      </c>
      <c r="B228" s="30">
        <v>46258</v>
      </c>
      <c r="C228" s="32" t="s">
        <v>13</v>
      </c>
      <c r="D228" s="34"/>
      <c r="E228" s="36"/>
      <c r="F228" s="27">
        <v>0.33916499999999999</v>
      </c>
      <c r="G228" s="28" t="s">
        <v>630</v>
      </c>
      <c r="H228" s="26" t="str">
        <f>IFERROR(INDEX(REALDATA!$C$2:$C$1048576,MATCH(G228,REALDATA!$B$2:$B$1048576,0)),"102/SL")</f>
        <v>102/SL</v>
      </c>
      <c r="I228" s="28" t="s">
        <v>689</v>
      </c>
      <c r="J228" s="26" t="s">
        <v>387</v>
      </c>
      <c r="K228" s="28" t="s">
        <v>690</v>
      </c>
      <c r="L228" s="28"/>
      <c r="M228" s="28"/>
      <c r="N228" s="26"/>
      <c r="O228" s="27" t="str">
        <f t="shared" si="3"/>
        <v/>
      </c>
      <c r="P228" s="26"/>
    </row>
    <row r="229" spans="1:16" ht="15.95" customHeight="1" x14ac:dyDescent="0.25">
      <c r="A229" s="26">
        <v>216</v>
      </c>
      <c r="B229" s="30">
        <v>46289</v>
      </c>
      <c r="C229" s="32" t="s">
        <v>13</v>
      </c>
      <c r="D229" s="26">
        <v>4.5</v>
      </c>
      <c r="E229" s="36">
        <v>29</v>
      </c>
      <c r="F229" s="27">
        <v>0.48020000000000002</v>
      </c>
      <c r="G229" s="28" t="s">
        <v>691</v>
      </c>
      <c r="H229" s="26" t="s">
        <v>692</v>
      </c>
      <c r="I229" s="28" t="s">
        <v>693</v>
      </c>
      <c r="J229" s="26" t="s">
        <v>387</v>
      </c>
      <c r="K229" s="28" t="s">
        <v>694</v>
      </c>
      <c r="L229" s="28"/>
      <c r="M229" s="28"/>
      <c r="N229" s="26"/>
      <c r="O229" s="27" t="str">
        <f t="shared" si="3"/>
        <v/>
      </c>
      <c r="P229" s="26"/>
    </row>
    <row r="230" spans="1:16" ht="15.95" customHeight="1" x14ac:dyDescent="0.25">
      <c r="A230" s="26">
        <v>217</v>
      </c>
      <c r="B230" s="30">
        <v>46290</v>
      </c>
      <c r="C230" s="32" t="s">
        <v>13</v>
      </c>
      <c r="D230" s="26">
        <v>4.5</v>
      </c>
      <c r="E230" s="36">
        <v>21</v>
      </c>
      <c r="F230" s="27">
        <v>0.3231</v>
      </c>
      <c r="G230" s="28" t="s">
        <v>691</v>
      </c>
      <c r="H230" s="26" t="str">
        <f>IFERROR(INDEX(REALDATA!$C$2:$C$1048576,MATCH(G230,REALDATA!$B$2:$B$1048576,0)),"")</f>
        <v>000/ELM</v>
      </c>
      <c r="I230" s="28" t="s">
        <v>695</v>
      </c>
      <c r="J230" s="26" t="s">
        <v>387</v>
      </c>
      <c r="K230" s="28" t="s">
        <v>694</v>
      </c>
      <c r="L230" s="28"/>
      <c r="M230" s="28"/>
      <c r="N230" s="26"/>
      <c r="O230" s="27" t="str">
        <f t="shared" si="3"/>
        <v/>
      </c>
      <c r="P230" s="26"/>
    </row>
    <row r="231" spans="1:16" ht="15.95" customHeight="1" x14ac:dyDescent="0.25">
      <c r="A231" s="26">
        <v>218</v>
      </c>
      <c r="B231" s="30">
        <v>46291</v>
      </c>
      <c r="C231" s="32" t="s">
        <v>13</v>
      </c>
      <c r="D231" s="26">
        <v>4.5</v>
      </c>
      <c r="E231" s="36">
        <v>25</v>
      </c>
      <c r="F231" s="27">
        <v>0.38092500000000001</v>
      </c>
      <c r="G231" s="28" t="s">
        <v>691</v>
      </c>
      <c r="H231" s="26" t="str">
        <f>IFERROR(INDEX(REALDATA!$C$2:$C$1048576,MATCH(G231,REALDATA!$B$2:$B$1048576,0)),"")</f>
        <v>000/ELM</v>
      </c>
      <c r="I231" s="28" t="s">
        <v>696</v>
      </c>
      <c r="J231" s="26" t="s">
        <v>387</v>
      </c>
      <c r="K231" s="28" t="s">
        <v>694</v>
      </c>
      <c r="L231" s="28"/>
      <c r="M231" s="28"/>
      <c r="N231" s="26"/>
      <c r="O231" s="27" t="str">
        <f t="shared" si="3"/>
        <v/>
      </c>
      <c r="P231" s="26"/>
    </row>
    <row r="232" spans="1:16" ht="15.95" customHeight="1" x14ac:dyDescent="0.25">
      <c r="A232" s="26">
        <v>219</v>
      </c>
      <c r="B232" s="30">
        <v>46291</v>
      </c>
      <c r="C232" s="32" t="s">
        <v>13</v>
      </c>
      <c r="D232" s="26">
        <v>5</v>
      </c>
      <c r="E232" s="36">
        <v>15</v>
      </c>
      <c r="F232" s="27">
        <v>0.27429999999999999</v>
      </c>
      <c r="G232" s="28" t="s">
        <v>691</v>
      </c>
      <c r="H232" s="26" t="str">
        <f>IFERROR(INDEX(REALDATA!$C$2:$C$1048576,MATCH(G232,REALDATA!$B$2:$B$1048576,0)),"")</f>
        <v>000/ELM</v>
      </c>
      <c r="I232" s="28" t="s">
        <v>696</v>
      </c>
      <c r="J232" s="26" t="s">
        <v>387</v>
      </c>
      <c r="K232" s="28" t="s">
        <v>694</v>
      </c>
      <c r="L232" s="28"/>
      <c r="M232" s="28"/>
      <c r="N232" s="26"/>
      <c r="O232" s="27" t="str">
        <f t="shared" si="3"/>
        <v/>
      </c>
      <c r="P232" s="26"/>
    </row>
    <row r="233" spans="1:16" ht="15.95" customHeight="1" x14ac:dyDescent="0.25">
      <c r="A233" s="26">
        <v>220</v>
      </c>
      <c r="B233" s="30">
        <v>46291</v>
      </c>
      <c r="C233" s="32" t="s">
        <v>13</v>
      </c>
      <c r="D233" s="26">
        <v>6</v>
      </c>
      <c r="E233" s="36">
        <v>19</v>
      </c>
      <c r="F233" s="27">
        <v>0.46686</v>
      </c>
      <c r="G233" s="28" t="s">
        <v>691</v>
      </c>
      <c r="H233" s="26" t="str">
        <f>IFERROR(INDEX(REALDATA!$C$2:$C$1048576,MATCH(G233,REALDATA!$B$2:$B$1048576,0)),"")</f>
        <v>000/ELM</v>
      </c>
      <c r="I233" s="28" t="s">
        <v>696</v>
      </c>
      <c r="J233" s="26" t="s">
        <v>387</v>
      </c>
      <c r="K233" s="28" t="s">
        <v>694</v>
      </c>
      <c r="L233" s="28"/>
      <c r="M233" s="28"/>
      <c r="N233" s="26"/>
      <c r="O233" s="27" t="str">
        <f t="shared" si="3"/>
        <v/>
      </c>
      <c r="P233" s="26"/>
    </row>
    <row r="234" spans="1:16" ht="15.95" customHeight="1" x14ac:dyDescent="0.25">
      <c r="A234" s="26">
        <v>221</v>
      </c>
      <c r="B234" s="30">
        <v>46041</v>
      </c>
      <c r="C234" s="32" t="s">
        <v>15</v>
      </c>
      <c r="D234" s="34"/>
      <c r="E234" s="36"/>
      <c r="F234" s="27">
        <v>6.862E-2</v>
      </c>
      <c r="G234" s="28" t="s">
        <v>697</v>
      </c>
      <c r="H234" s="26" t="str">
        <f>IFERROR(INDEX(REALDATA!$C$2:$C$1048576,MATCH(G234,REALDATA!$B$2:$B$1048576,0)),"DI/RM")</f>
        <v>001/RM</v>
      </c>
      <c r="I234" s="28" t="s">
        <v>698</v>
      </c>
      <c r="J234" s="26" t="s">
        <v>387</v>
      </c>
      <c r="K234" s="28" t="s">
        <v>699</v>
      </c>
      <c r="L234" s="28"/>
      <c r="M234" s="28"/>
      <c r="N234" s="26"/>
      <c r="O234" s="27" t="str">
        <f t="shared" si="3"/>
        <v/>
      </c>
      <c r="P234" s="26"/>
    </row>
    <row r="235" spans="1:16" ht="15.95" customHeight="1" x14ac:dyDescent="0.25">
      <c r="A235" s="26">
        <v>222</v>
      </c>
      <c r="B235" s="30">
        <v>46046</v>
      </c>
      <c r="C235" s="32" t="s">
        <v>15</v>
      </c>
      <c r="D235" s="34"/>
      <c r="E235" s="36"/>
      <c r="F235" s="27">
        <v>1.9890000000000001E-2</v>
      </c>
      <c r="G235" s="28" t="s">
        <v>700</v>
      </c>
      <c r="H235" s="26" t="str">
        <f>IFERROR(INDEX(REALDATA!$C$2:$C$1048576,MATCH(G235,REALDATA!$B$2:$B$1048576,0)),"DI/RM")</f>
        <v>001/RM</v>
      </c>
      <c r="I235" s="28" t="s">
        <v>698</v>
      </c>
      <c r="J235" s="26" t="s">
        <v>387</v>
      </c>
      <c r="K235" s="28" t="s">
        <v>701</v>
      </c>
      <c r="L235" s="28"/>
      <c r="M235" s="28"/>
      <c r="N235" s="26"/>
      <c r="O235" s="27" t="str">
        <f t="shared" si="3"/>
        <v/>
      </c>
      <c r="P235" s="26"/>
    </row>
    <row r="236" spans="1:16" ht="15.95" customHeight="1" x14ac:dyDescent="0.25">
      <c r="A236" s="26">
        <v>223</v>
      </c>
      <c r="B236" s="30">
        <v>46056</v>
      </c>
      <c r="C236" s="32" t="s">
        <v>15</v>
      </c>
      <c r="D236" s="34"/>
      <c r="E236" s="36"/>
      <c r="F236" s="27">
        <v>0.79131899999999999</v>
      </c>
      <c r="G236" s="28" t="s">
        <v>697</v>
      </c>
      <c r="H236" s="26" t="str">
        <f>IFERROR(INDEX(REALDATA!$C$2:$C$1048576,MATCH(G236,REALDATA!$B$2:$B$1048576,0)),"DI/RM")</f>
        <v>001/RM</v>
      </c>
      <c r="I236" s="28" t="s">
        <v>702</v>
      </c>
      <c r="J236" s="26" t="s">
        <v>387</v>
      </c>
      <c r="K236" s="28" t="s">
        <v>703</v>
      </c>
      <c r="L236" s="28"/>
      <c r="M236" s="28"/>
      <c r="N236" s="26"/>
      <c r="O236" s="27" t="str">
        <f t="shared" si="3"/>
        <v/>
      </c>
      <c r="P236" s="26"/>
    </row>
    <row r="237" spans="1:16" ht="15.95" customHeight="1" x14ac:dyDescent="0.25">
      <c r="A237" s="26">
        <v>224</v>
      </c>
      <c r="B237" s="30">
        <v>46062</v>
      </c>
      <c r="C237" s="32" t="s">
        <v>15</v>
      </c>
      <c r="D237" s="34"/>
      <c r="E237" s="36"/>
      <c r="F237" s="27">
        <v>0.14830699999999999</v>
      </c>
      <c r="G237" s="28" t="s">
        <v>697</v>
      </c>
      <c r="H237" s="26" t="str">
        <f>IFERROR(INDEX(REALDATA!$C$2:$C$1048576,MATCH(G237,REALDATA!$B$2:$B$1048576,0)),"DI/RM")</f>
        <v>001/RM</v>
      </c>
      <c r="I237" s="28" t="s">
        <v>702</v>
      </c>
      <c r="J237" s="26" t="s">
        <v>387</v>
      </c>
      <c r="K237" s="28" t="s">
        <v>704</v>
      </c>
      <c r="L237" s="28"/>
      <c r="M237" s="28"/>
      <c r="N237" s="26"/>
      <c r="O237" s="27" t="str">
        <f t="shared" si="3"/>
        <v/>
      </c>
      <c r="P237" s="26"/>
    </row>
    <row r="238" spans="1:16" ht="15.95" customHeight="1" x14ac:dyDescent="0.25">
      <c r="A238" s="26">
        <v>225</v>
      </c>
      <c r="B238" s="30">
        <v>46064</v>
      </c>
      <c r="C238" s="32" t="s">
        <v>15</v>
      </c>
      <c r="D238" s="34"/>
      <c r="E238" s="36"/>
      <c r="F238" s="27">
        <v>5.321E-2</v>
      </c>
      <c r="G238" s="28" t="s">
        <v>697</v>
      </c>
      <c r="H238" s="26" t="str">
        <f>IFERROR(INDEX(REALDATA!$C$2:$C$1048576,MATCH(G238,REALDATA!$B$2:$B$1048576,0)),"DI/RM")</f>
        <v>001/RM</v>
      </c>
      <c r="I238" s="28" t="s">
        <v>702</v>
      </c>
      <c r="J238" s="26" t="s">
        <v>387</v>
      </c>
      <c r="K238" s="28" t="s">
        <v>705</v>
      </c>
      <c r="L238" s="28"/>
      <c r="M238" s="28"/>
      <c r="N238" s="26"/>
      <c r="O238" s="27" t="str">
        <f t="shared" si="3"/>
        <v/>
      </c>
      <c r="P238" s="26"/>
    </row>
    <row r="239" spans="1:16" ht="15.95" customHeight="1" x14ac:dyDescent="0.25">
      <c r="A239" s="26">
        <v>226</v>
      </c>
      <c r="B239" s="30">
        <v>46065</v>
      </c>
      <c r="C239" s="32" t="s">
        <v>15</v>
      </c>
      <c r="D239" s="34"/>
      <c r="E239" s="36"/>
      <c r="F239" s="27">
        <v>4.1260000000000003E-3</v>
      </c>
      <c r="G239" s="28" t="s">
        <v>697</v>
      </c>
      <c r="H239" s="26" t="str">
        <f>IFERROR(INDEX(REALDATA!$C$2:$C$1048576,MATCH(G239,REALDATA!$B$2:$B$1048576,0)),"DI/RM")</f>
        <v>001/RM</v>
      </c>
      <c r="I239" s="28" t="s">
        <v>702</v>
      </c>
      <c r="J239" s="26" t="s">
        <v>387</v>
      </c>
      <c r="K239" s="28" t="s">
        <v>706</v>
      </c>
      <c r="L239" s="28"/>
      <c r="M239" s="28"/>
      <c r="N239" s="26"/>
      <c r="O239" s="27" t="str">
        <f t="shared" si="3"/>
        <v/>
      </c>
      <c r="P239" s="26"/>
    </row>
    <row r="240" spans="1:16" ht="15.95" customHeight="1" x14ac:dyDescent="0.25">
      <c r="A240" s="26">
        <v>227</v>
      </c>
      <c r="B240" s="30">
        <v>46070</v>
      </c>
      <c r="C240" s="32" t="s">
        <v>15</v>
      </c>
      <c r="D240" s="34"/>
      <c r="E240" s="36"/>
      <c r="F240" s="27">
        <v>6.8210999999999994E-2</v>
      </c>
      <c r="G240" s="28" t="s">
        <v>707</v>
      </c>
      <c r="H240" s="26" t="str">
        <f>IFERROR(INDEX(REALDATA!$C$2:$C$1048576,MATCH(G240,REALDATA!$B$2:$B$1048576,0)),"KH")</f>
        <v>059/KH</v>
      </c>
      <c r="I240" s="28" t="s">
        <v>708</v>
      </c>
      <c r="J240" s="26" t="s">
        <v>387</v>
      </c>
      <c r="K240" s="28" t="s">
        <v>709</v>
      </c>
      <c r="L240" s="28"/>
      <c r="M240" s="28"/>
      <c r="N240" s="26"/>
      <c r="O240" s="27" t="str">
        <f t="shared" si="3"/>
        <v/>
      </c>
      <c r="P240" s="26"/>
    </row>
    <row r="241" spans="1:16" ht="15.95" customHeight="1" x14ac:dyDescent="0.25">
      <c r="A241" s="26">
        <v>228</v>
      </c>
      <c r="B241" s="30">
        <v>46070</v>
      </c>
      <c r="C241" s="32" t="s">
        <v>15</v>
      </c>
      <c r="D241" s="34"/>
      <c r="E241" s="36"/>
      <c r="F241" s="27">
        <v>3.9788999999999998E-2</v>
      </c>
      <c r="G241" s="28" t="s">
        <v>430</v>
      </c>
      <c r="H241" s="26" t="str">
        <f>IFERROR(INDEX(REALDATA!$C$2:$C$1048576,MATCH(G241,REALDATA!$B$2:$B$1048576,0)),"TR")</f>
        <v>130/TR</v>
      </c>
      <c r="I241" s="28" t="s">
        <v>708</v>
      </c>
      <c r="J241" s="26" t="s">
        <v>387</v>
      </c>
      <c r="K241" s="28" t="s">
        <v>710</v>
      </c>
      <c r="L241" s="28"/>
      <c r="M241" s="28"/>
      <c r="N241" s="26"/>
      <c r="O241" s="27" t="str">
        <f t="shared" si="3"/>
        <v/>
      </c>
      <c r="P241" s="26"/>
    </row>
    <row r="242" spans="1:16" ht="15.95" customHeight="1" x14ac:dyDescent="0.25">
      <c r="A242" s="26">
        <v>229</v>
      </c>
      <c r="B242" s="30">
        <v>46071</v>
      </c>
      <c r="C242" s="32" t="s">
        <v>15</v>
      </c>
      <c r="D242" s="34"/>
      <c r="E242" s="36"/>
      <c r="F242" s="27">
        <v>0.41164400000000001</v>
      </c>
      <c r="G242" s="28" t="s">
        <v>707</v>
      </c>
      <c r="H242" s="26" t="str">
        <f>IFERROR(INDEX(REALDATA!$C$2:$C$1048576,MATCH(G242,REALDATA!$B$2:$B$1048576,0)),"KH")</f>
        <v>059/KH</v>
      </c>
      <c r="I242" s="28" t="s">
        <v>708</v>
      </c>
      <c r="J242" s="26" t="s">
        <v>387</v>
      </c>
      <c r="K242" s="28" t="s">
        <v>711</v>
      </c>
      <c r="L242" s="28"/>
      <c r="M242" s="28"/>
      <c r="N242" s="26"/>
      <c r="O242" s="27" t="str">
        <f t="shared" si="3"/>
        <v/>
      </c>
      <c r="P242" s="26"/>
    </row>
    <row r="243" spans="1:16" ht="15.95" customHeight="1" x14ac:dyDescent="0.25">
      <c r="A243" s="26">
        <v>230</v>
      </c>
      <c r="B243" s="30">
        <v>46071</v>
      </c>
      <c r="C243" s="32" t="s">
        <v>15</v>
      </c>
      <c r="D243" s="34"/>
      <c r="E243" s="36"/>
      <c r="F243" s="27">
        <v>0.24012600000000001</v>
      </c>
      <c r="G243" s="28" t="s">
        <v>430</v>
      </c>
      <c r="H243" s="26" t="str">
        <f>IFERROR(INDEX(REALDATA!$C$2:$C$1048576,MATCH(G243,REALDATA!$B$2:$B$1048576,0)),"TR")</f>
        <v>130/TR</v>
      </c>
      <c r="I243" s="28" t="s">
        <v>708</v>
      </c>
      <c r="J243" s="26" t="s">
        <v>387</v>
      </c>
      <c r="K243" s="28" t="s">
        <v>712</v>
      </c>
      <c r="L243" s="28"/>
      <c r="M243" s="28"/>
      <c r="N243" s="26"/>
      <c r="O243" s="27" t="str">
        <f t="shared" si="3"/>
        <v/>
      </c>
      <c r="P243" s="26"/>
    </row>
    <row r="244" spans="1:16" ht="15.95" customHeight="1" x14ac:dyDescent="0.25">
      <c r="A244" s="26">
        <v>231</v>
      </c>
      <c r="B244" s="30">
        <v>46072</v>
      </c>
      <c r="C244" s="32" t="s">
        <v>15</v>
      </c>
      <c r="D244" s="34"/>
      <c r="E244" s="36"/>
      <c r="F244" s="27">
        <v>1.9563000000000001E-2</v>
      </c>
      <c r="G244" s="28" t="s">
        <v>707</v>
      </c>
      <c r="H244" s="26" t="str">
        <f>IFERROR(INDEX(REALDATA!$C$2:$C$1048576,MATCH(G244,REALDATA!$B$2:$B$1048576,0)),"KH")</f>
        <v>059/KH</v>
      </c>
      <c r="I244" s="28" t="s">
        <v>708</v>
      </c>
      <c r="J244" s="26" t="s">
        <v>387</v>
      </c>
      <c r="K244" s="28" t="s">
        <v>713</v>
      </c>
      <c r="L244" s="28"/>
      <c r="M244" s="28"/>
      <c r="N244" s="26"/>
      <c r="O244" s="27" t="str">
        <f t="shared" si="3"/>
        <v/>
      </c>
      <c r="P244" s="26"/>
    </row>
    <row r="245" spans="1:16" ht="15.95" customHeight="1" x14ac:dyDescent="0.25">
      <c r="A245" s="26">
        <v>232</v>
      </c>
      <c r="B245" s="30">
        <v>46072</v>
      </c>
      <c r="C245" s="32" t="s">
        <v>15</v>
      </c>
      <c r="D245" s="34"/>
      <c r="E245" s="36"/>
      <c r="F245" s="27">
        <v>1.1412E-2</v>
      </c>
      <c r="G245" s="28" t="s">
        <v>430</v>
      </c>
      <c r="H245" s="26" t="str">
        <f>IFERROR(INDEX(REALDATA!$C$2:$C$1048576,MATCH(G245,REALDATA!$B$2:$B$1048576,0)),"TR")</f>
        <v>130/TR</v>
      </c>
      <c r="I245" s="28" t="s">
        <v>708</v>
      </c>
      <c r="J245" s="26" t="s">
        <v>387</v>
      </c>
      <c r="K245" s="28" t="s">
        <v>714</v>
      </c>
      <c r="L245" s="28"/>
      <c r="M245" s="28"/>
      <c r="N245" s="26"/>
      <c r="O245" s="27" t="str">
        <f t="shared" si="3"/>
        <v/>
      </c>
      <c r="P245" s="26"/>
    </row>
    <row r="246" spans="1:16" ht="15.95" customHeight="1" x14ac:dyDescent="0.25">
      <c r="A246" s="26">
        <v>233</v>
      </c>
      <c r="B246" s="30">
        <v>46107</v>
      </c>
      <c r="C246" s="32" t="s">
        <v>15</v>
      </c>
      <c r="D246" s="34"/>
      <c r="E246" s="36"/>
      <c r="F246" s="27">
        <v>0.19872999999999999</v>
      </c>
      <c r="G246" s="28" t="s">
        <v>697</v>
      </c>
      <c r="H246" s="26" t="str">
        <f>IFERROR(INDEX(REALDATA!$C$2:$C$1048576,MATCH(G246,REALDATA!$B$2:$B$1048576,0)),"DI/RM")</f>
        <v>001/RM</v>
      </c>
      <c r="I246" s="28" t="s">
        <v>715</v>
      </c>
      <c r="J246" s="26" t="s">
        <v>387</v>
      </c>
      <c r="K246" s="28" t="s">
        <v>716</v>
      </c>
      <c r="L246" s="28"/>
      <c r="M246" s="28"/>
      <c r="N246" s="26"/>
      <c r="O246" s="27" t="str">
        <f t="shared" si="3"/>
        <v/>
      </c>
      <c r="P246" s="26"/>
    </row>
    <row r="247" spans="1:16" ht="15.95" customHeight="1" x14ac:dyDescent="0.25">
      <c r="A247" s="26">
        <v>234</v>
      </c>
      <c r="B247" s="30">
        <v>46123</v>
      </c>
      <c r="C247" s="32" t="s">
        <v>15</v>
      </c>
      <c r="D247" s="34"/>
      <c r="E247" s="36"/>
      <c r="F247" s="27">
        <v>7.3289999999999994E-2</v>
      </c>
      <c r="G247" s="28" t="s">
        <v>700</v>
      </c>
      <c r="H247" s="26" t="str">
        <f>IFERROR(INDEX(REALDATA!$C$2:$C$1048576,MATCH(G247,REALDATA!$B$2:$B$1048576,0)),"DI/RM")</f>
        <v>001/RM</v>
      </c>
      <c r="I247" s="28" t="s">
        <v>715</v>
      </c>
      <c r="J247" s="26" t="s">
        <v>387</v>
      </c>
      <c r="K247" s="28" t="s">
        <v>717</v>
      </c>
      <c r="L247" s="28"/>
      <c r="M247" s="28"/>
      <c r="N247" s="26"/>
      <c r="O247" s="27" t="str">
        <f t="shared" si="3"/>
        <v/>
      </c>
      <c r="P247" s="26"/>
    </row>
    <row r="248" spans="1:16" ht="15.95" customHeight="1" x14ac:dyDescent="0.25">
      <c r="A248" s="26">
        <v>235</v>
      </c>
      <c r="B248" s="30">
        <v>46123</v>
      </c>
      <c r="C248" s="32" t="s">
        <v>15</v>
      </c>
      <c r="D248" s="34"/>
      <c r="E248" s="36"/>
      <c r="F248" s="27">
        <v>0.45163999999999999</v>
      </c>
      <c r="G248" s="28" t="s">
        <v>491</v>
      </c>
      <c r="H248" s="26" t="str">
        <f>IFERROR(INDEX(REALDATA!$C$2:$C$1048576,MATCH(G248,REALDATA!$B$2:$B$1048576,0)),"PA")</f>
        <v>115/PA</v>
      </c>
      <c r="I248" s="28" t="s">
        <v>718</v>
      </c>
      <c r="J248" s="26" t="s">
        <v>387</v>
      </c>
      <c r="K248" s="28" t="s">
        <v>719</v>
      </c>
      <c r="L248" s="28"/>
      <c r="M248" s="28"/>
      <c r="N248" s="26"/>
      <c r="O248" s="27" t="str">
        <f t="shared" si="3"/>
        <v/>
      </c>
      <c r="P248" s="26"/>
    </row>
    <row r="249" spans="1:16" ht="15.95" customHeight="1" x14ac:dyDescent="0.25">
      <c r="A249" s="26">
        <v>236</v>
      </c>
      <c r="B249" s="30">
        <v>46125</v>
      </c>
      <c r="C249" s="32" t="s">
        <v>15</v>
      </c>
      <c r="D249" s="34"/>
      <c r="E249" s="36"/>
      <c r="F249" s="27">
        <v>0.84799999999999998</v>
      </c>
      <c r="G249" s="28" t="s">
        <v>491</v>
      </c>
      <c r="H249" s="26" t="str">
        <f>IFERROR(INDEX(REALDATA!$C$2:$C$1048576,MATCH(G249,REALDATA!$B$2:$B$1048576,0)),"PA")</f>
        <v>115/PA</v>
      </c>
      <c r="I249" s="28" t="s">
        <v>718</v>
      </c>
      <c r="J249" s="26" t="s">
        <v>387</v>
      </c>
      <c r="K249" s="28" t="s">
        <v>720</v>
      </c>
      <c r="L249" s="28"/>
      <c r="M249" s="28"/>
      <c r="N249" s="26"/>
      <c r="O249" s="27" t="str">
        <f t="shared" si="3"/>
        <v/>
      </c>
      <c r="P249" s="26"/>
    </row>
    <row r="250" spans="1:16" ht="15.95" customHeight="1" x14ac:dyDescent="0.25">
      <c r="A250" s="26">
        <v>237</v>
      </c>
      <c r="B250" s="30">
        <v>46127</v>
      </c>
      <c r="C250" s="32" t="s">
        <v>15</v>
      </c>
      <c r="D250" s="34"/>
      <c r="E250" s="36"/>
      <c r="F250" s="27">
        <v>0.99004999999999999</v>
      </c>
      <c r="G250" s="28" t="s">
        <v>491</v>
      </c>
      <c r="H250" s="26" t="str">
        <f>IFERROR(INDEX(REALDATA!$C$2:$C$1048576,MATCH(G250,REALDATA!$B$2:$B$1048576,0)),"PA")</f>
        <v>115/PA</v>
      </c>
      <c r="I250" s="28" t="s">
        <v>718</v>
      </c>
      <c r="J250" s="26" t="s">
        <v>387</v>
      </c>
      <c r="K250" s="28" t="s">
        <v>721</v>
      </c>
      <c r="L250" s="28"/>
      <c r="M250" s="28"/>
      <c r="N250" s="26"/>
      <c r="O250" s="27" t="str">
        <f t="shared" si="3"/>
        <v/>
      </c>
      <c r="P250" s="26"/>
    </row>
    <row r="251" spans="1:16" ht="15.95" customHeight="1" x14ac:dyDescent="0.25">
      <c r="A251" s="26">
        <v>238</v>
      </c>
      <c r="B251" s="30">
        <v>46130</v>
      </c>
      <c r="C251" s="32" t="s">
        <v>15</v>
      </c>
      <c r="D251" s="34"/>
      <c r="E251" s="36"/>
      <c r="F251" s="27">
        <v>0.56307600000000002</v>
      </c>
      <c r="G251" s="28" t="s">
        <v>491</v>
      </c>
      <c r="H251" s="26" t="str">
        <f>IFERROR(INDEX(REALDATA!$C$2:$C$1048576,MATCH(G251,REALDATA!$B$2:$B$1048576,0)),"PA")</f>
        <v>115/PA</v>
      </c>
      <c r="I251" s="28" t="s">
        <v>722</v>
      </c>
      <c r="J251" s="26" t="s">
        <v>387</v>
      </c>
      <c r="K251" s="28" t="s">
        <v>723</v>
      </c>
      <c r="L251" s="28"/>
      <c r="M251" s="28"/>
      <c r="N251" s="26"/>
      <c r="O251" s="27" t="str">
        <f t="shared" si="3"/>
        <v/>
      </c>
      <c r="P251" s="26"/>
    </row>
    <row r="252" spans="1:16" ht="15.95" customHeight="1" x14ac:dyDescent="0.25">
      <c r="A252" s="26">
        <v>239</v>
      </c>
      <c r="B252" s="30">
        <v>46132</v>
      </c>
      <c r="C252" s="32" t="s">
        <v>15</v>
      </c>
      <c r="D252" s="34"/>
      <c r="E252" s="36"/>
      <c r="F252" s="27">
        <v>2.8044359999999999</v>
      </c>
      <c r="G252" s="28" t="s">
        <v>491</v>
      </c>
      <c r="H252" s="26" t="str">
        <f>IFERROR(INDEX(REALDATA!$C$2:$C$1048576,MATCH(G252,REALDATA!$B$2:$B$1048576,0)),"PA")</f>
        <v>115/PA</v>
      </c>
      <c r="I252" s="28" t="s">
        <v>722</v>
      </c>
      <c r="J252" s="26" t="s">
        <v>387</v>
      </c>
      <c r="K252" s="28" t="s">
        <v>724</v>
      </c>
      <c r="L252" s="28"/>
      <c r="M252" s="28"/>
      <c r="N252" s="26"/>
      <c r="O252" s="27" t="str">
        <f t="shared" si="3"/>
        <v/>
      </c>
      <c r="P252" s="26"/>
    </row>
    <row r="253" spans="1:16" ht="15.95" customHeight="1" x14ac:dyDescent="0.25">
      <c r="A253" s="26">
        <v>240</v>
      </c>
      <c r="B253" s="30">
        <v>46133</v>
      </c>
      <c r="C253" s="32" t="s">
        <v>15</v>
      </c>
      <c r="D253" s="34"/>
      <c r="E253" s="36"/>
      <c r="F253" s="27">
        <v>0.2102</v>
      </c>
      <c r="G253" s="28" t="s">
        <v>491</v>
      </c>
      <c r="H253" s="26" t="str">
        <f>IFERROR(INDEX(REALDATA!$C$2:$C$1048576,MATCH(G253,REALDATA!$B$2:$B$1048576,0)),"PA")</f>
        <v>115/PA</v>
      </c>
      <c r="I253" s="28" t="s">
        <v>722</v>
      </c>
      <c r="J253" s="26" t="s">
        <v>387</v>
      </c>
      <c r="K253" s="28" t="s">
        <v>725</v>
      </c>
      <c r="L253" s="28"/>
      <c r="M253" s="28"/>
      <c r="N253" s="26"/>
      <c r="O253" s="27" t="str">
        <f t="shared" si="3"/>
        <v/>
      </c>
      <c r="P253" s="26"/>
    </row>
    <row r="254" spans="1:16" ht="15.95" customHeight="1" x14ac:dyDescent="0.25">
      <c r="A254" s="26">
        <v>241</v>
      </c>
      <c r="B254" s="30">
        <v>46135</v>
      </c>
      <c r="C254" s="32" t="s">
        <v>15</v>
      </c>
      <c r="D254" s="34"/>
      <c r="E254" s="36"/>
      <c r="F254" s="27">
        <v>1.1147400000000001</v>
      </c>
      <c r="G254" s="28" t="s">
        <v>491</v>
      </c>
      <c r="H254" s="26" t="str">
        <f>IFERROR(INDEX(REALDATA!$C$2:$C$1048576,MATCH(G254,REALDATA!$B$2:$B$1048576,0)),"PA")</f>
        <v>115/PA</v>
      </c>
      <c r="I254" s="28" t="s">
        <v>718</v>
      </c>
      <c r="J254" s="26" t="s">
        <v>387</v>
      </c>
      <c r="K254" s="28" t="s">
        <v>726</v>
      </c>
      <c r="L254" s="28"/>
      <c r="M254" s="28"/>
      <c r="N254" s="26"/>
      <c r="O254" s="27" t="str">
        <f t="shared" si="3"/>
        <v/>
      </c>
      <c r="P254" s="26"/>
    </row>
    <row r="255" spans="1:16" ht="15.95" customHeight="1" x14ac:dyDescent="0.25">
      <c r="A255" s="26">
        <v>242</v>
      </c>
      <c r="B255" s="30">
        <v>46135</v>
      </c>
      <c r="C255" s="32" t="s">
        <v>15</v>
      </c>
      <c r="D255" s="34"/>
      <c r="E255" s="36"/>
      <c r="F255" s="27">
        <v>8.48E-2</v>
      </c>
      <c r="G255" s="28" t="s">
        <v>727</v>
      </c>
      <c r="H255" s="26" t="str">
        <f>IFERROR(INDEX(REALDATA!$C$2:$C$1048576,MATCH(G255,REALDATA!$B$2:$B$1048576,0)),"MA")</f>
        <v>098/MA</v>
      </c>
      <c r="I255" s="28" t="s">
        <v>728</v>
      </c>
      <c r="J255" s="26" t="s">
        <v>387</v>
      </c>
      <c r="K255" s="28" t="s">
        <v>729</v>
      </c>
      <c r="L255" s="28"/>
      <c r="M255" s="28"/>
      <c r="N255" s="26"/>
      <c r="O255" s="27" t="str">
        <f t="shared" si="3"/>
        <v/>
      </c>
      <c r="P255" s="26"/>
    </row>
    <row r="256" spans="1:16" ht="15.95" customHeight="1" x14ac:dyDescent="0.25">
      <c r="A256" s="26">
        <v>243</v>
      </c>
      <c r="B256" s="30">
        <v>46135</v>
      </c>
      <c r="C256" s="32" t="s">
        <v>15</v>
      </c>
      <c r="D256" s="34"/>
      <c r="E256" s="36"/>
      <c r="F256" s="27">
        <v>0.51280000000000003</v>
      </c>
      <c r="G256" s="28" t="s">
        <v>491</v>
      </c>
      <c r="H256" s="26" t="str">
        <f>IFERROR(INDEX(REALDATA!$C$2:$C$1048576,MATCH(G256,REALDATA!$B$2:$B$1048576,0)),"PA")</f>
        <v>115/PA</v>
      </c>
      <c r="I256" s="28" t="s">
        <v>722</v>
      </c>
      <c r="J256" s="26" t="s">
        <v>387</v>
      </c>
      <c r="K256" s="28" t="s">
        <v>730</v>
      </c>
      <c r="L256" s="28"/>
      <c r="M256" s="28"/>
      <c r="N256" s="26"/>
      <c r="O256" s="27" t="str">
        <f t="shared" si="3"/>
        <v/>
      </c>
      <c r="P256" s="26"/>
    </row>
    <row r="257" spans="1:16" ht="15.95" customHeight="1" x14ac:dyDescent="0.25">
      <c r="A257" s="26">
        <v>244</v>
      </c>
      <c r="B257" s="30">
        <v>46136</v>
      </c>
      <c r="C257" s="32" t="s">
        <v>15</v>
      </c>
      <c r="D257" s="34"/>
      <c r="E257" s="36"/>
      <c r="F257" s="27">
        <v>0.15764</v>
      </c>
      <c r="G257" s="28" t="s">
        <v>727</v>
      </c>
      <c r="H257" s="26" t="str">
        <f>IFERROR(INDEX(REALDATA!$C$2:$C$1048576,MATCH(G257,REALDATA!$B$2:$B$1048576,0)),"MA")</f>
        <v>098/MA</v>
      </c>
      <c r="I257" s="28" t="s">
        <v>728</v>
      </c>
      <c r="J257" s="26" t="s">
        <v>387</v>
      </c>
      <c r="K257" s="28" t="s">
        <v>731</v>
      </c>
      <c r="L257" s="28"/>
      <c r="M257" s="28"/>
      <c r="N257" s="26"/>
      <c r="O257" s="27" t="str">
        <f t="shared" si="3"/>
        <v/>
      </c>
      <c r="P257" s="26"/>
    </row>
    <row r="258" spans="1:16" ht="15.95" customHeight="1" x14ac:dyDescent="0.25">
      <c r="A258" s="26">
        <v>245</v>
      </c>
      <c r="B258" s="30">
        <v>46138</v>
      </c>
      <c r="C258" s="32" t="s">
        <v>15</v>
      </c>
      <c r="D258" s="34"/>
      <c r="E258" s="36"/>
      <c r="F258" s="27">
        <v>0.40144999999999997</v>
      </c>
      <c r="G258" s="28" t="s">
        <v>491</v>
      </c>
      <c r="H258" s="26" t="str">
        <f>IFERROR(INDEX(REALDATA!$C$2:$C$1048576,MATCH(G258,REALDATA!$B$2:$B$1048576,0)),"PA")</f>
        <v>115/PA</v>
      </c>
      <c r="I258" s="28" t="s">
        <v>718</v>
      </c>
      <c r="J258" s="26" t="s">
        <v>387</v>
      </c>
      <c r="K258" s="28" t="s">
        <v>732</v>
      </c>
      <c r="L258" s="28"/>
      <c r="M258" s="28"/>
      <c r="N258" s="26"/>
      <c r="O258" s="27" t="str">
        <f t="shared" si="3"/>
        <v/>
      </c>
      <c r="P258" s="26"/>
    </row>
    <row r="259" spans="1:16" ht="15.95" customHeight="1" x14ac:dyDescent="0.25">
      <c r="A259" s="26">
        <v>246</v>
      </c>
      <c r="B259" s="30">
        <v>46141</v>
      </c>
      <c r="C259" s="32" t="s">
        <v>15</v>
      </c>
      <c r="D259" s="34"/>
      <c r="E259" s="36"/>
      <c r="F259" s="27">
        <v>0.76729499999999995</v>
      </c>
      <c r="G259" s="28" t="s">
        <v>491</v>
      </c>
      <c r="H259" s="26" t="str">
        <f>IFERROR(INDEX(REALDATA!$C$2:$C$1048576,MATCH(G259,REALDATA!$B$2:$B$1048576,0)),"PA")</f>
        <v>115/PA</v>
      </c>
      <c r="I259" s="28" t="s">
        <v>718</v>
      </c>
      <c r="J259" s="26" t="s">
        <v>387</v>
      </c>
      <c r="K259" s="28" t="s">
        <v>733</v>
      </c>
      <c r="L259" s="28"/>
      <c r="M259" s="28"/>
      <c r="N259" s="26"/>
      <c r="O259" s="27" t="str">
        <f t="shared" si="3"/>
        <v/>
      </c>
      <c r="P259" s="26"/>
    </row>
    <row r="260" spans="1:16" ht="15.95" customHeight="1" x14ac:dyDescent="0.25">
      <c r="A260" s="26">
        <v>247</v>
      </c>
      <c r="B260" s="30">
        <v>46142</v>
      </c>
      <c r="C260" s="32" t="s">
        <v>15</v>
      </c>
      <c r="D260" s="34"/>
      <c r="E260" s="36"/>
      <c r="F260" s="27">
        <v>0.42627500000000002</v>
      </c>
      <c r="G260" s="28" t="s">
        <v>491</v>
      </c>
      <c r="H260" s="26" t="str">
        <f>IFERROR(INDEX(REALDATA!$C$2:$C$1048576,MATCH(G260,REALDATA!$B$2:$B$1048576,0)),"PA")</f>
        <v>115/PA</v>
      </c>
      <c r="I260" s="28" t="s">
        <v>718</v>
      </c>
      <c r="J260" s="26" t="s">
        <v>387</v>
      </c>
      <c r="K260" s="28" t="s">
        <v>734</v>
      </c>
      <c r="L260" s="28"/>
      <c r="M260" s="28"/>
      <c r="N260" s="26"/>
      <c r="O260" s="27" t="str">
        <f t="shared" si="3"/>
        <v/>
      </c>
      <c r="P260" s="26"/>
    </row>
    <row r="261" spans="1:16" ht="15.95" customHeight="1" x14ac:dyDescent="0.25">
      <c r="A261" s="26">
        <v>248</v>
      </c>
      <c r="B261" s="30">
        <v>46146</v>
      </c>
      <c r="C261" s="32" t="s">
        <v>15</v>
      </c>
      <c r="D261" s="34"/>
      <c r="E261" s="36"/>
      <c r="F261" s="27">
        <v>0.42627500000000002</v>
      </c>
      <c r="G261" s="28" t="s">
        <v>491</v>
      </c>
      <c r="H261" s="26" t="str">
        <f>IFERROR(INDEX(REALDATA!$C$2:$C$1048576,MATCH(G261,REALDATA!$B$2:$B$1048576,0)),"PA")</f>
        <v>115/PA</v>
      </c>
      <c r="I261" s="28" t="s">
        <v>718</v>
      </c>
      <c r="J261" s="26" t="s">
        <v>387</v>
      </c>
      <c r="K261" s="28" t="s">
        <v>735</v>
      </c>
      <c r="L261" s="28"/>
      <c r="M261" s="28"/>
      <c r="N261" s="26"/>
      <c r="O261" s="27" t="str">
        <f t="shared" si="3"/>
        <v/>
      </c>
      <c r="P261" s="26"/>
    </row>
    <row r="262" spans="1:16" ht="15.95" customHeight="1" x14ac:dyDescent="0.25">
      <c r="A262" s="26">
        <v>249</v>
      </c>
      <c r="B262" s="30">
        <v>46147</v>
      </c>
      <c r="C262" s="32" t="s">
        <v>15</v>
      </c>
      <c r="D262" s="34"/>
      <c r="E262" s="36"/>
      <c r="F262" s="27">
        <v>7.3533000000000001E-2</v>
      </c>
      <c r="G262" s="28" t="s">
        <v>411</v>
      </c>
      <c r="H262" s="26" t="s">
        <v>411</v>
      </c>
      <c r="I262" s="28" t="s">
        <v>411</v>
      </c>
      <c r="J262" s="26" t="s">
        <v>411</v>
      </c>
      <c r="K262" s="28" t="s">
        <v>736</v>
      </c>
      <c r="L262" s="28"/>
      <c r="M262" s="28"/>
      <c r="N262" s="26"/>
      <c r="O262" s="27" t="str">
        <f t="shared" si="3"/>
        <v/>
      </c>
      <c r="P262" s="26"/>
    </row>
    <row r="263" spans="1:16" ht="15.95" customHeight="1" x14ac:dyDescent="0.25">
      <c r="A263" s="26">
        <v>250</v>
      </c>
      <c r="B263" s="30">
        <v>46149</v>
      </c>
      <c r="C263" s="32" t="s">
        <v>15</v>
      </c>
      <c r="D263" s="34"/>
      <c r="E263" s="36"/>
      <c r="F263" s="27">
        <v>0.96856299999999995</v>
      </c>
      <c r="G263" s="28" t="s">
        <v>491</v>
      </c>
      <c r="H263" s="26" t="str">
        <f>IFERROR(INDEX(REALDATA!$C$2:$C$1048576,MATCH(G263,REALDATA!$B$2:$B$1048576,0)),"PA")</f>
        <v>115/PA</v>
      </c>
      <c r="I263" s="28" t="s">
        <v>718</v>
      </c>
      <c r="J263" s="26" t="s">
        <v>387</v>
      </c>
      <c r="K263" s="28" t="s">
        <v>737</v>
      </c>
      <c r="L263" s="28"/>
      <c r="M263" s="28"/>
      <c r="N263" s="26"/>
      <c r="O263" s="27" t="str">
        <f t="shared" si="3"/>
        <v/>
      </c>
      <c r="P263" s="26"/>
    </row>
    <row r="264" spans="1:16" ht="15.95" customHeight="1" x14ac:dyDescent="0.25">
      <c r="A264" s="26">
        <v>251</v>
      </c>
      <c r="B264" s="30">
        <v>46151</v>
      </c>
      <c r="C264" s="32" t="s">
        <v>15</v>
      </c>
      <c r="D264" s="34"/>
      <c r="E264" s="36"/>
      <c r="F264" s="27">
        <v>0.63375000000000004</v>
      </c>
      <c r="G264" s="28" t="s">
        <v>491</v>
      </c>
      <c r="H264" s="26" t="str">
        <f>IFERROR(INDEX(REALDATA!$C$2:$C$1048576,MATCH(G264,REALDATA!$B$2:$B$1048576,0)),"PA")</f>
        <v>115/PA</v>
      </c>
      <c r="I264" s="28" t="s">
        <v>718</v>
      </c>
      <c r="J264" s="26" t="s">
        <v>387</v>
      </c>
      <c r="K264" s="28" t="s">
        <v>738</v>
      </c>
      <c r="L264" s="28"/>
      <c r="M264" s="28"/>
      <c r="N264" s="26"/>
      <c r="O264" s="27" t="str">
        <f t="shared" si="3"/>
        <v/>
      </c>
      <c r="P264" s="26"/>
    </row>
    <row r="265" spans="1:16" ht="15.95" customHeight="1" x14ac:dyDescent="0.25">
      <c r="A265" s="26">
        <v>252</v>
      </c>
      <c r="B265" s="30">
        <v>46153</v>
      </c>
      <c r="C265" s="32" t="s">
        <v>15</v>
      </c>
      <c r="D265" s="34"/>
      <c r="E265" s="36"/>
      <c r="F265" s="27">
        <v>3.3119450000000001</v>
      </c>
      <c r="G265" s="28" t="s">
        <v>739</v>
      </c>
      <c r="H265" s="26" t="str">
        <f>IFERROR(INDEX(REALDATA!$C$2:$C$1048576,MATCH(G265,REALDATA!$B$2:$B$1048576,0)),"PA")</f>
        <v>115/PA</v>
      </c>
      <c r="I265" s="28" t="s">
        <v>722</v>
      </c>
      <c r="J265" s="26" t="s">
        <v>387</v>
      </c>
      <c r="K265" s="28" t="s">
        <v>740</v>
      </c>
      <c r="L265" s="28"/>
      <c r="M265" s="28"/>
      <c r="N265" s="26"/>
      <c r="O265" s="27" t="str">
        <f t="shared" si="3"/>
        <v/>
      </c>
      <c r="P265" s="26"/>
    </row>
    <row r="266" spans="1:16" ht="15.95" customHeight="1" x14ac:dyDescent="0.25">
      <c r="A266" s="26">
        <v>253</v>
      </c>
      <c r="B266" s="30">
        <v>46155</v>
      </c>
      <c r="C266" s="32" t="s">
        <v>15</v>
      </c>
      <c r="D266" s="34"/>
      <c r="E266" s="36"/>
      <c r="F266" s="27">
        <v>0.43362000000000001</v>
      </c>
      <c r="G266" s="28" t="s">
        <v>739</v>
      </c>
      <c r="H266" s="26" t="str">
        <f>IFERROR(INDEX(REALDATA!$C$2:$C$1048576,MATCH(G266,REALDATA!$B$2:$B$1048576,0)),"PA")</f>
        <v>115/PA</v>
      </c>
      <c r="I266" s="28" t="s">
        <v>722</v>
      </c>
      <c r="J266" s="26" t="s">
        <v>387</v>
      </c>
      <c r="K266" s="28" t="s">
        <v>741</v>
      </c>
      <c r="L266" s="28"/>
      <c r="M266" s="28"/>
      <c r="N266" s="26"/>
      <c r="O266" s="27" t="str">
        <f t="shared" si="3"/>
        <v/>
      </c>
      <c r="P266" s="26"/>
    </row>
    <row r="267" spans="1:16" ht="15.95" customHeight="1" x14ac:dyDescent="0.25">
      <c r="A267" s="26">
        <v>254</v>
      </c>
      <c r="B267" s="30">
        <v>46160</v>
      </c>
      <c r="C267" s="32" t="s">
        <v>15</v>
      </c>
      <c r="D267" s="34"/>
      <c r="E267" s="36"/>
      <c r="F267" s="27">
        <v>0.78737500000000005</v>
      </c>
      <c r="G267" s="28" t="s">
        <v>739</v>
      </c>
      <c r="H267" s="26" t="str">
        <f>IFERROR(INDEX(REALDATA!$C$2:$C$1048576,MATCH(G267,REALDATA!$B$2:$B$1048576,0)),"PA")</f>
        <v>115/PA</v>
      </c>
      <c r="I267" s="28" t="s">
        <v>722</v>
      </c>
      <c r="J267" s="26" t="s">
        <v>387</v>
      </c>
      <c r="K267" s="28" t="s">
        <v>742</v>
      </c>
      <c r="L267" s="28"/>
      <c r="M267" s="28"/>
      <c r="N267" s="26"/>
      <c r="O267" s="27" t="str">
        <f t="shared" si="3"/>
        <v/>
      </c>
      <c r="P267" s="26"/>
    </row>
    <row r="268" spans="1:16" ht="15.95" customHeight="1" x14ac:dyDescent="0.25">
      <c r="A268" s="26">
        <v>255</v>
      </c>
      <c r="B268" s="30">
        <v>46162</v>
      </c>
      <c r="C268" s="32" t="s">
        <v>15</v>
      </c>
      <c r="D268" s="34"/>
      <c r="E268" s="36"/>
      <c r="F268" s="27">
        <v>4.2314299999999996</v>
      </c>
      <c r="G268" s="28" t="s">
        <v>739</v>
      </c>
      <c r="H268" s="26" t="str">
        <f>IFERROR(INDEX(REALDATA!$C$2:$C$1048576,MATCH(G268,REALDATA!$B$2:$B$1048576,0)),"PA")</f>
        <v>115/PA</v>
      </c>
      <c r="I268" s="28" t="s">
        <v>722</v>
      </c>
      <c r="J268" s="26" t="s">
        <v>387</v>
      </c>
      <c r="K268" s="28" t="s">
        <v>743</v>
      </c>
      <c r="L268" s="28"/>
      <c r="M268" s="28"/>
      <c r="N268" s="26"/>
      <c r="O268" s="27" t="str">
        <f t="shared" si="3"/>
        <v/>
      </c>
      <c r="P268" s="26"/>
    </row>
    <row r="269" spans="1:16" ht="15.95" customHeight="1" x14ac:dyDescent="0.25">
      <c r="A269" s="26">
        <v>256</v>
      </c>
      <c r="B269" s="30">
        <v>46176</v>
      </c>
      <c r="C269" s="32" t="s">
        <v>15</v>
      </c>
      <c r="D269" s="34"/>
      <c r="E269" s="36"/>
      <c r="F269" s="27">
        <v>0.26799499999999998</v>
      </c>
      <c r="G269" s="28" t="s">
        <v>739</v>
      </c>
      <c r="H269" s="26" t="str">
        <f>IFERROR(INDEX(REALDATA!$C$2:$C$1048576,MATCH(G269,REALDATA!$B$2:$B$1048576,0)),"PA")</f>
        <v>115/PA</v>
      </c>
      <c r="I269" s="28" t="s">
        <v>722</v>
      </c>
      <c r="J269" s="26" t="s">
        <v>387</v>
      </c>
      <c r="K269" s="28" t="s">
        <v>744</v>
      </c>
      <c r="L269" s="28"/>
      <c r="M269" s="28"/>
      <c r="N269" s="26"/>
      <c r="O269" s="27" t="str">
        <f t="shared" si="3"/>
        <v/>
      </c>
      <c r="P269" s="26"/>
    </row>
    <row r="270" spans="1:16" ht="15.95" customHeight="1" x14ac:dyDescent="0.25">
      <c r="A270" s="26">
        <v>257</v>
      </c>
      <c r="B270" s="30">
        <v>46176</v>
      </c>
      <c r="C270" s="32" t="s">
        <v>15</v>
      </c>
      <c r="D270" s="34"/>
      <c r="E270" s="36"/>
      <c r="F270" s="27">
        <v>0.135045</v>
      </c>
      <c r="G270" s="28" t="s">
        <v>739</v>
      </c>
      <c r="H270" s="26" t="str">
        <f>IFERROR(INDEX(REALDATA!$C$2:$C$1048576,MATCH(G270,REALDATA!$B$2:$B$1048576,0)),"PA")</f>
        <v>115/PA</v>
      </c>
      <c r="I270" s="28" t="s">
        <v>745</v>
      </c>
      <c r="J270" s="26" t="s">
        <v>387</v>
      </c>
      <c r="K270" s="28" t="s">
        <v>746</v>
      </c>
      <c r="L270" s="28"/>
      <c r="M270" s="28"/>
      <c r="N270" s="26"/>
      <c r="O270" s="27" t="str">
        <f t="shared" ref="O270:O333" si="4">IF(AND(L270="Adjustment",N270="",P270&lt;&gt;"Explained"),F270+SUMIFS($F$14:$F$5084,$N$14:$N$5084,A270,$L$14:$L$5084,"Adjustment"),"")</f>
        <v/>
      </c>
      <c r="P270" s="26"/>
    </row>
    <row r="271" spans="1:16" ht="15.95" customHeight="1" x14ac:dyDescent="0.25">
      <c r="A271" s="26">
        <v>258</v>
      </c>
      <c r="B271" s="30">
        <v>46177</v>
      </c>
      <c r="C271" s="32" t="s">
        <v>15</v>
      </c>
      <c r="D271" s="34"/>
      <c r="E271" s="36"/>
      <c r="F271" s="27">
        <v>5.2110529999999997</v>
      </c>
      <c r="G271" s="28" t="s">
        <v>739</v>
      </c>
      <c r="H271" s="26" t="str">
        <f>IFERROR(INDEX(REALDATA!$C$2:$C$1048576,MATCH(G271,REALDATA!$B$2:$B$1048576,0)),"PA")</f>
        <v>115/PA</v>
      </c>
      <c r="I271" s="28" t="s">
        <v>722</v>
      </c>
      <c r="J271" s="26" t="s">
        <v>387</v>
      </c>
      <c r="K271" s="28" t="s">
        <v>747</v>
      </c>
      <c r="L271" s="28"/>
      <c r="M271" s="28"/>
      <c r="N271" s="26"/>
      <c r="O271" s="27" t="str">
        <f t="shared" si="4"/>
        <v/>
      </c>
      <c r="P271" s="26"/>
    </row>
    <row r="272" spans="1:16" ht="15.95" customHeight="1" x14ac:dyDescent="0.25">
      <c r="A272" s="26">
        <v>259</v>
      </c>
      <c r="B272" s="30">
        <v>46181</v>
      </c>
      <c r="C272" s="32" t="s">
        <v>15</v>
      </c>
      <c r="D272" s="34"/>
      <c r="E272" s="36"/>
      <c r="F272" s="27">
        <v>0.42005999999999999</v>
      </c>
      <c r="G272" s="28" t="s">
        <v>748</v>
      </c>
      <c r="H272" s="26" t="str">
        <f>IFERROR(INDEX(REALDATA!$C$2:$C$1048576,MATCH(G272,REALDATA!$B$2:$B$1048576,0)),"ELM")</f>
        <v>000/ELM</v>
      </c>
      <c r="I272" s="28" t="s">
        <v>722</v>
      </c>
      <c r="J272" s="26" t="s">
        <v>387</v>
      </c>
      <c r="K272" s="28" t="s">
        <v>749</v>
      </c>
      <c r="L272" s="28"/>
      <c r="M272" s="28"/>
      <c r="N272" s="26"/>
      <c r="O272" s="27" t="str">
        <f t="shared" si="4"/>
        <v/>
      </c>
      <c r="P272" s="26"/>
    </row>
    <row r="273" spans="1:16" ht="15.95" customHeight="1" x14ac:dyDescent="0.25">
      <c r="A273" s="26">
        <v>260</v>
      </c>
      <c r="B273" s="30">
        <v>46181</v>
      </c>
      <c r="C273" s="32" t="s">
        <v>15</v>
      </c>
      <c r="D273" s="34"/>
      <c r="E273" s="36"/>
      <c r="F273" s="27">
        <v>0.75307500000000005</v>
      </c>
      <c r="G273" s="28" t="s">
        <v>559</v>
      </c>
      <c r="H273" s="26" t="str">
        <f>IFERROR(INDEX(REALDATA!$C$2:$C$1048576,MATCH(G273,REALDATA!$B$2:$B$1048576,0)),"GO")</f>
        <v>135/GO</v>
      </c>
      <c r="I273" s="28" t="s">
        <v>722</v>
      </c>
      <c r="J273" s="26" t="s">
        <v>387</v>
      </c>
      <c r="K273" s="28" t="s">
        <v>750</v>
      </c>
      <c r="L273" s="28"/>
      <c r="M273" s="28"/>
      <c r="N273" s="26"/>
      <c r="O273" s="27" t="str">
        <f t="shared" si="4"/>
        <v/>
      </c>
      <c r="P273" s="26"/>
    </row>
    <row r="274" spans="1:16" ht="15.95" customHeight="1" x14ac:dyDescent="0.25">
      <c r="A274" s="26">
        <v>261</v>
      </c>
      <c r="B274" s="30">
        <v>46184</v>
      </c>
      <c r="C274" s="32" t="s">
        <v>15</v>
      </c>
      <c r="D274" s="34"/>
      <c r="E274" s="36"/>
      <c r="F274" s="27">
        <v>0.03</v>
      </c>
      <c r="G274" s="28" t="s">
        <v>411</v>
      </c>
      <c r="H274" s="26" t="s">
        <v>411</v>
      </c>
      <c r="I274" s="28" t="s">
        <v>411</v>
      </c>
      <c r="J274" s="26" t="s">
        <v>411</v>
      </c>
      <c r="K274" s="28" t="s">
        <v>751</v>
      </c>
      <c r="L274" s="28"/>
      <c r="M274" s="28"/>
      <c r="N274" s="26"/>
      <c r="O274" s="27" t="str">
        <f t="shared" si="4"/>
        <v/>
      </c>
      <c r="P274" s="26"/>
    </row>
    <row r="275" spans="1:16" ht="15.95" customHeight="1" x14ac:dyDescent="0.25">
      <c r="A275" s="26">
        <v>262</v>
      </c>
      <c r="B275" s="30">
        <v>46185</v>
      </c>
      <c r="C275" s="32" t="s">
        <v>15</v>
      </c>
      <c r="D275" s="34"/>
      <c r="E275" s="36"/>
      <c r="F275" s="27">
        <v>0.59656500000000001</v>
      </c>
      <c r="G275" s="28" t="s">
        <v>559</v>
      </c>
      <c r="H275" s="26" t="str">
        <f>IFERROR(INDEX(REALDATA!$C$2:$C$1048576,MATCH(G275,REALDATA!$B$2:$B$1048576,0)),"GO")</f>
        <v>135/GO</v>
      </c>
      <c r="I275" s="28" t="s">
        <v>722</v>
      </c>
      <c r="J275" s="26" t="s">
        <v>387</v>
      </c>
      <c r="K275" s="28" t="s">
        <v>752</v>
      </c>
      <c r="L275" s="28"/>
      <c r="M275" s="28"/>
      <c r="N275" s="26"/>
      <c r="O275" s="27" t="str">
        <f t="shared" si="4"/>
        <v/>
      </c>
      <c r="P275" s="26"/>
    </row>
    <row r="276" spans="1:16" ht="15.95" customHeight="1" x14ac:dyDescent="0.25">
      <c r="A276" s="26">
        <v>263</v>
      </c>
      <c r="B276" s="30">
        <v>46190</v>
      </c>
      <c r="C276" s="32" t="s">
        <v>15</v>
      </c>
      <c r="D276" s="34"/>
      <c r="E276" s="36"/>
      <c r="F276" s="27">
        <v>5.3999999999999999E-2</v>
      </c>
      <c r="G276" s="28" t="s">
        <v>411</v>
      </c>
      <c r="H276" s="26" t="s">
        <v>411</v>
      </c>
      <c r="I276" s="28" t="s">
        <v>415</v>
      </c>
      <c r="J276" s="26" t="s">
        <v>411</v>
      </c>
      <c r="K276" s="28" t="s">
        <v>753</v>
      </c>
      <c r="L276" s="28"/>
      <c r="M276" s="28"/>
      <c r="N276" s="26"/>
      <c r="O276" s="27" t="str">
        <f t="shared" si="4"/>
        <v/>
      </c>
      <c r="P276" s="26"/>
    </row>
    <row r="277" spans="1:16" ht="15.95" customHeight="1" x14ac:dyDescent="0.25">
      <c r="A277" s="26">
        <v>264</v>
      </c>
      <c r="B277" s="30">
        <v>46198</v>
      </c>
      <c r="C277" s="32" t="s">
        <v>15</v>
      </c>
      <c r="D277" s="34"/>
      <c r="E277" s="36"/>
      <c r="F277" s="27">
        <v>0.34776000000000001</v>
      </c>
      <c r="G277" s="28" t="s">
        <v>559</v>
      </c>
      <c r="H277" s="26" t="str">
        <f>IFERROR(INDEX(REALDATA!$C$2:$C$1048576,MATCH(G277,REALDATA!$B$2:$B$1048576,0)),"GO")</f>
        <v>135/GO</v>
      </c>
      <c r="I277" s="28" t="s">
        <v>722</v>
      </c>
      <c r="J277" s="26" t="s">
        <v>387</v>
      </c>
      <c r="K277" s="28" t="s">
        <v>754</v>
      </c>
      <c r="L277" s="28"/>
      <c r="M277" s="28"/>
      <c r="N277" s="26"/>
      <c r="O277" s="27" t="str">
        <f t="shared" si="4"/>
        <v/>
      </c>
      <c r="P277" s="26"/>
    </row>
    <row r="278" spans="1:16" ht="15.95" customHeight="1" x14ac:dyDescent="0.25">
      <c r="A278" s="26">
        <v>265</v>
      </c>
      <c r="B278" s="30">
        <v>46208</v>
      </c>
      <c r="C278" s="32" t="s">
        <v>15</v>
      </c>
      <c r="D278" s="34"/>
      <c r="E278" s="36"/>
      <c r="F278" s="27">
        <v>1.8755200000000001</v>
      </c>
      <c r="G278" s="28" t="s">
        <v>623</v>
      </c>
      <c r="H278" s="26" t="str">
        <f>IFERROR(INDEX(REALDATA!$C$2:$C$1048576,MATCH(G278,REALDATA!$B$2:$B$1048576,0)),"IL")</f>
        <v>079/IL</v>
      </c>
      <c r="I278" s="28" t="s">
        <v>722</v>
      </c>
      <c r="J278" s="26" t="s">
        <v>387</v>
      </c>
      <c r="K278" s="28" t="s">
        <v>755</v>
      </c>
      <c r="L278" s="28"/>
      <c r="M278" s="28"/>
      <c r="N278" s="26"/>
      <c r="O278" s="27" t="str">
        <f t="shared" si="4"/>
        <v/>
      </c>
      <c r="P278" s="26"/>
    </row>
    <row r="279" spans="1:16" ht="15.95" customHeight="1" x14ac:dyDescent="0.25">
      <c r="A279" s="26">
        <v>266</v>
      </c>
      <c r="B279" s="30">
        <v>46223</v>
      </c>
      <c r="C279" s="32" t="s">
        <v>15</v>
      </c>
      <c r="D279" s="34"/>
      <c r="E279" s="36"/>
      <c r="F279" s="27">
        <v>0.53271999999999997</v>
      </c>
      <c r="G279" s="28" t="s">
        <v>739</v>
      </c>
      <c r="H279" s="26" t="str">
        <f>IFERROR(INDEX(REALDATA!$C$2:$C$1048576,MATCH(G279,REALDATA!$B$2:$B$1048576,0)),"PA")</f>
        <v>115/PA</v>
      </c>
      <c r="I279" s="28" t="s">
        <v>722</v>
      </c>
      <c r="J279" s="26" t="s">
        <v>387</v>
      </c>
      <c r="K279" s="28" t="s">
        <v>756</v>
      </c>
      <c r="L279" s="28"/>
      <c r="M279" s="28"/>
      <c r="N279" s="26"/>
      <c r="O279" s="27" t="str">
        <f t="shared" si="4"/>
        <v/>
      </c>
      <c r="P279" s="26"/>
    </row>
    <row r="280" spans="1:16" ht="15.95" customHeight="1" x14ac:dyDescent="0.25">
      <c r="A280" s="26">
        <v>267</v>
      </c>
      <c r="B280" s="30">
        <v>46227</v>
      </c>
      <c r="C280" s="32" t="s">
        <v>15</v>
      </c>
      <c r="D280" s="34"/>
      <c r="E280" s="36"/>
      <c r="F280" s="27">
        <v>1.6157600000000001</v>
      </c>
      <c r="G280" s="28" t="s">
        <v>559</v>
      </c>
      <c r="H280" s="26" t="str">
        <f>IFERROR(INDEX(REALDATA!$C$2:$C$1048576,MATCH(G280,REALDATA!$B$2:$B$1048576,0)),"GO")</f>
        <v>135/GO</v>
      </c>
      <c r="I280" s="28" t="s">
        <v>722</v>
      </c>
      <c r="J280" s="26" t="s">
        <v>387</v>
      </c>
      <c r="K280" s="28" t="s">
        <v>757</v>
      </c>
      <c r="L280" s="28"/>
      <c r="M280" s="28"/>
      <c r="N280" s="26"/>
      <c r="O280" s="27" t="str">
        <f t="shared" si="4"/>
        <v/>
      </c>
      <c r="P280" s="26"/>
    </row>
    <row r="281" spans="1:16" ht="15.95" customHeight="1" x14ac:dyDescent="0.25">
      <c r="A281" s="26">
        <v>268</v>
      </c>
      <c r="B281" s="30">
        <v>46228</v>
      </c>
      <c r="C281" s="32" t="s">
        <v>15</v>
      </c>
      <c r="D281" s="34"/>
      <c r="E281" s="36"/>
      <c r="F281" s="27">
        <v>0.49568000000000001</v>
      </c>
      <c r="G281" s="28" t="s">
        <v>748</v>
      </c>
      <c r="H281" s="26" t="str">
        <f>IFERROR(INDEX(REALDATA!$C$2:$C$1048576,MATCH(G281,REALDATA!$B$2:$B$1048576,0)),"ELM")</f>
        <v>000/ELM</v>
      </c>
      <c r="I281" s="28" t="s">
        <v>722</v>
      </c>
      <c r="J281" s="26" t="s">
        <v>387</v>
      </c>
      <c r="K281" s="28" t="s">
        <v>758</v>
      </c>
      <c r="L281" s="28"/>
      <c r="M281" s="28"/>
      <c r="N281" s="26"/>
      <c r="O281" s="27" t="str">
        <f t="shared" si="4"/>
        <v/>
      </c>
      <c r="P281" s="26"/>
    </row>
    <row r="282" spans="1:16" ht="15.95" customHeight="1" x14ac:dyDescent="0.25">
      <c r="A282" s="26">
        <v>269</v>
      </c>
      <c r="B282" s="30">
        <v>46231</v>
      </c>
      <c r="C282" s="32" t="s">
        <v>15</v>
      </c>
      <c r="D282" s="34"/>
      <c r="E282" s="36"/>
      <c r="F282" s="27">
        <v>0.84433999999999998</v>
      </c>
      <c r="G282" s="28" t="s">
        <v>623</v>
      </c>
      <c r="H282" s="26" t="str">
        <f>IFERROR(INDEX(REALDATA!$C$2:$C$1048576,MATCH(G282,REALDATA!$B$2:$B$1048576,0)),"IL")</f>
        <v>079/IL</v>
      </c>
      <c r="I282" s="28" t="s">
        <v>722</v>
      </c>
      <c r="J282" s="26" t="s">
        <v>387</v>
      </c>
      <c r="K282" s="28" t="s">
        <v>759</v>
      </c>
      <c r="L282" s="28"/>
      <c r="M282" s="28"/>
      <c r="N282" s="26"/>
      <c r="O282" s="27" t="str">
        <f t="shared" si="4"/>
        <v/>
      </c>
      <c r="P282" s="26"/>
    </row>
    <row r="283" spans="1:16" ht="15.95" customHeight="1" x14ac:dyDescent="0.25">
      <c r="A283" s="26">
        <v>270</v>
      </c>
      <c r="B283" s="30">
        <v>46232</v>
      </c>
      <c r="C283" s="32" t="s">
        <v>15</v>
      </c>
      <c r="D283" s="34"/>
      <c r="E283" s="36"/>
      <c r="F283" s="27">
        <v>0.18432000000000001</v>
      </c>
      <c r="G283" s="28" t="s">
        <v>623</v>
      </c>
      <c r="H283" s="26" t="str">
        <f>IFERROR(INDEX(REALDATA!$C$2:$C$1048576,MATCH(G283,REALDATA!$B$2:$B$1048576,0)),"IL")</f>
        <v>079/IL</v>
      </c>
      <c r="I283" s="28" t="s">
        <v>722</v>
      </c>
      <c r="J283" s="26" t="s">
        <v>387</v>
      </c>
      <c r="K283" s="28" t="s">
        <v>760</v>
      </c>
      <c r="L283" s="28"/>
      <c r="M283" s="28"/>
      <c r="N283" s="26"/>
      <c r="O283" s="27" t="str">
        <f t="shared" si="4"/>
        <v/>
      </c>
      <c r="P283" s="26"/>
    </row>
    <row r="284" spans="1:16" ht="15.95" customHeight="1" x14ac:dyDescent="0.25">
      <c r="A284" s="26">
        <v>271</v>
      </c>
      <c r="B284" s="30">
        <v>46240</v>
      </c>
      <c r="C284" s="32" t="s">
        <v>15</v>
      </c>
      <c r="D284" s="34"/>
      <c r="E284" s="36"/>
      <c r="F284" s="27">
        <v>0.18301500000000001</v>
      </c>
      <c r="G284" s="28" t="s">
        <v>652</v>
      </c>
      <c r="H284" s="26" t="str">
        <f>IFERROR(INDEX(REALDATA!$C$2:$C$1048576,MATCH(G284,REALDATA!$B$2:$B$1048576,0)),"ELM")</f>
        <v>000/ELM</v>
      </c>
      <c r="I284" s="28" t="s">
        <v>722</v>
      </c>
      <c r="J284" s="26" t="s">
        <v>387</v>
      </c>
      <c r="K284" s="28" t="s">
        <v>761</v>
      </c>
      <c r="L284" s="28"/>
      <c r="M284" s="28"/>
      <c r="N284" s="26"/>
      <c r="O284" s="27" t="str">
        <f t="shared" si="4"/>
        <v/>
      </c>
      <c r="P284" s="26"/>
    </row>
    <row r="285" spans="1:16" ht="15.95" customHeight="1" x14ac:dyDescent="0.25">
      <c r="A285" s="26">
        <v>272</v>
      </c>
      <c r="B285" s="30">
        <v>46241</v>
      </c>
      <c r="C285" s="32" t="s">
        <v>15</v>
      </c>
      <c r="D285" s="34"/>
      <c r="E285" s="36"/>
      <c r="F285" s="27">
        <v>0.17410500000000001</v>
      </c>
      <c r="G285" s="28" t="s">
        <v>652</v>
      </c>
      <c r="H285" s="26" t="str">
        <f>IFERROR(INDEX(REALDATA!$C$2:$C$1048576,MATCH(G285,REALDATA!$B$2:$B$1048576,0)),"ELM")</f>
        <v>000/ELM</v>
      </c>
      <c r="I285" s="28" t="s">
        <v>722</v>
      </c>
      <c r="J285" s="26" t="s">
        <v>387</v>
      </c>
      <c r="K285" s="28" t="s">
        <v>762</v>
      </c>
      <c r="L285" s="28"/>
      <c r="M285" s="28"/>
      <c r="N285" s="26"/>
      <c r="O285" s="27" t="str">
        <f t="shared" si="4"/>
        <v/>
      </c>
      <c r="P285" s="26"/>
    </row>
    <row r="286" spans="1:16" ht="15.95" customHeight="1" x14ac:dyDescent="0.25">
      <c r="A286" s="26">
        <v>273</v>
      </c>
      <c r="B286" s="30">
        <v>46248</v>
      </c>
      <c r="C286" s="32" t="s">
        <v>15</v>
      </c>
      <c r="D286" s="34"/>
      <c r="E286" s="36"/>
      <c r="F286" s="27">
        <v>0.73646999999999996</v>
      </c>
      <c r="G286" s="28" t="s">
        <v>763</v>
      </c>
      <c r="H286" s="26" t="str">
        <f>IFERROR(INDEX(REALDATA!$C$2:$C$1048576,MATCH(G286,REALDATA!$B$2:$B$1048576,0)),"PA")</f>
        <v>115/PA</v>
      </c>
      <c r="I286" s="28" t="s">
        <v>722</v>
      </c>
      <c r="J286" s="26" t="s">
        <v>387</v>
      </c>
      <c r="K286" s="28" t="s">
        <v>764</v>
      </c>
      <c r="L286" s="28"/>
      <c r="M286" s="28"/>
      <c r="N286" s="26"/>
      <c r="O286" s="27" t="str">
        <f t="shared" si="4"/>
        <v/>
      </c>
      <c r="P286" s="26"/>
    </row>
    <row r="287" spans="1:16" ht="15.95" customHeight="1" x14ac:dyDescent="0.25">
      <c r="A287" s="26">
        <v>274</v>
      </c>
      <c r="B287" s="30">
        <v>46249</v>
      </c>
      <c r="C287" s="32" t="s">
        <v>15</v>
      </c>
      <c r="D287" s="34"/>
      <c r="E287" s="36"/>
      <c r="F287" s="27">
        <v>0.58338000000000001</v>
      </c>
      <c r="G287" s="28" t="s">
        <v>763</v>
      </c>
      <c r="H287" s="26" t="str">
        <f>IFERROR(INDEX(REALDATA!$C$2:$C$1048576,MATCH(G287,REALDATA!$B$2:$B$1048576,0)),"PA")</f>
        <v>115/PA</v>
      </c>
      <c r="I287" s="28" t="s">
        <v>722</v>
      </c>
      <c r="J287" s="26" t="s">
        <v>387</v>
      </c>
      <c r="K287" s="28" t="s">
        <v>765</v>
      </c>
      <c r="L287" s="28"/>
      <c r="M287" s="28"/>
      <c r="N287" s="26"/>
      <c r="O287" s="27" t="str">
        <f t="shared" si="4"/>
        <v/>
      </c>
      <c r="P287" s="26"/>
    </row>
    <row r="288" spans="1:16" ht="15.95" customHeight="1" x14ac:dyDescent="0.25">
      <c r="A288" s="26">
        <v>275</v>
      </c>
      <c r="B288" s="30">
        <v>46253</v>
      </c>
      <c r="C288" s="32" t="s">
        <v>15</v>
      </c>
      <c r="D288" s="34"/>
      <c r="E288" s="36"/>
      <c r="F288" s="27">
        <v>1.352125</v>
      </c>
      <c r="G288" s="28" t="s">
        <v>763</v>
      </c>
      <c r="H288" s="26" t="str">
        <f>IFERROR(INDEX(REALDATA!$C$2:$C$1048576,MATCH(G288,REALDATA!$B$2:$B$1048576,0)),"PA")</f>
        <v>115/PA</v>
      </c>
      <c r="I288" s="28" t="s">
        <v>722</v>
      </c>
      <c r="J288" s="26" t="s">
        <v>387</v>
      </c>
      <c r="K288" s="28" t="s">
        <v>766</v>
      </c>
      <c r="L288" s="28"/>
      <c r="M288" s="28"/>
      <c r="N288" s="26"/>
      <c r="O288" s="27" t="str">
        <f t="shared" si="4"/>
        <v/>
      </c>
      <c r="P288" s="26"/>
    </row>
    <row r="289" spans="1:16" ht="15.95" customHeight="1" x14ac:dyDescent="0.25">
      <c r="A289" s="26">
        <v>276</v>
      </c>
      <c r="B289" s="30">
        <v>46254</v>
      </c>
      <c r="C289" s="32" t="s">
        <v>15</v>
      </c>
      <c r="D289" s="34"/>
      <c r="E289" s="36"/>
      <c r="F289" s="27">
        <v>1.2958050000000001</v>
      </c>
      <c r="G289" s="28" t="s">
        <v>763</v>
      </c>
      <c r="H289" s="26" t="str">
        <f>IFERROR(INDEX(REALDATA!$C$2:$C$1048576,MATCH(G289,REALDATA!$B$2:$B$1048576,0)),"PA")</f>
        <v>115/PA</v>
      </c>
      <c r="I289" s="28" t="s">
        <v>722</v>
      </c>
      <c r="J289" s="26" t="s">
        <v>387</v>
      </c>
      <c r="K289" s="28" t="s">
        <v>767</v>
      </c>
      <c r="L289" s="28"/>
      <c r="M289" s="28"/>
      <c r="N289" s="26"/>
      <c r="O289" s="27" t="str">
        <f t="shared" si="4"/>
        <v/>
      </c>
      <c r="P289" s="26"/>
    </row>
    <row r="290" spans="1:16" ht="15.95" customHeight="1" x14ac:dyDescent="0.25">
      <c r="A290" s="26">
        <v>277</v>
      </c>
      <c r="B290" s="30">
        <v>46255</v>
      </c>
      <c r="C290" s="32" t="s">
        <v>15</v>
      </c>
      <c r="D290" s="34"/>
      <c r="E290" s="36"/>
      <c r="F290" s="27">
        <v>1.2457800000000001</v>
      </c>
      <c r="G290" s="28" t="s">
        <v>763</v>
      </c>
      <c r="H290" s="26" t="str">
        <f>IFERROR(INDEX(REALDATA!$C$2:$C$1048576,MATCH(G290,REALDATA!$B$2:$B$1048576,0)),"PA")</f>
        <v>115/PA</v>
      </c>
      <c r="I290" s="28" t="s">
        <v>722</v>
      </c>
      <c r="J290" s="26" t="s">
        <v>387</v>
      </c>
      <c r="K290" s="28" t="s">
        <v>768</v>
      </c>
      <c r="L290" s="28"/>
      <c r="M290" s="28"/>
      <c r="N290" s="26"/>
      <c r="O290" s="27" t="str">
        <f t="shared" si="4"/>
        <v/>
      </c>
      <c r="P290" s="26"/>
    </row>
    <row r="291" spans="1:16" ht="15.95" customHeight="1" x14ac:dyDescent="0.25">
      <c r="A291" s="26">
        <v>278</v>
      </c>
      <c r="B291" s="30">
        <v>46256</v>
      </c>
      <c r="C291" s="32" t="s">
        <v>15</v>
      </c>
      <c r="D291" s="34"/>
      <c r="E291" s="36"/>
      <c r="F291" s="27">
        <v>0.27616000000000002</v>
      </c>
      <c r="G291" s="28" t="s">
        <v>763</v>
      </c>
      <c r="H291" s="26" t="str">
        <f>IFERROR(INDEX(REALDATA!$C$2:$C$1048576,MATCH(G291,REALDATA!$B$2:$B$1048576,0)),"PA")</f>
        <v>115/PA</v>
      </c>
      <c r="I291" s="28" t="s">
        <v>722</v>
      </c>
      <c r="J291" s="26" t="s">
        <v>387</v>
      </c>
      <c r="K291" s="28" t="s">
        <v>769</v>
      </c>
      <c r="L291" s="28"/>
      <c r="M291" s="28"/>
      <c r="N291" s="26"/>
      <c r="O291" s="27" t="str">
        <f t="shared" si="4"/>
        <v/>
      </c>
      <c r="P291" s="26"/>
    </row>
    <row r="292" spans="1:16" ht="15.95" customHeight="1" x14ac:dyDescent="0.25">
      <c r="A292" s="26">
        <v>279</v>
      </c>
      <c r="B292" s="30">
        <v>46258</v>
      </c>
      <c r="C292" s="32" t="s">
        <v>15</v>
      </c>
      <c r="D292" s="34"/>
      <c r="E292" s="36"/>
      <c r="F292" s="27">
        <v>1.0032749999999999</v>
      </c>
      <c r="G292" s="28" t="s">
        <v>763</v>
      </c>
      <c r="H292" s="26" t="str">
        <f>IFERROR(INDEX(REALDATA!$C$2:$C$1048576,MATCH(G292,REALDATA!$B$2:$B$1048576,0)),"PA")</f>
        <v>115/PA</v>
      </c>
      <c r="I292" s="28" t="s">
        <v>722</v>
      </c>
      <c r="J292" s="26" t="s">
        <v>387</v>
      </c>
      <c r="K292" s="28" t="s">
        <v>770</v>
      </c>
      <c r="L292" s="28"/>
      <c r="M292" s="28"/>
      <c r="N292" s="26"/>
      <c r="O292" s="27" t="str">
        <f t="shared" si="4"/>
        <v/>
      </c>
      <c r="P292" s="26"/>
    </row>
    <row r="293" spans="1:16" ht="15.95" customHeight="1" x14ac:dyDescent="0.25">
      <c r="A293" s="26">
        <v>280</v>
      </c>
      <c r="B293" s="30">
        <v>46282</v>
      </c>
      <c r="C293" s="32" t="s">
        <v>15</v>
      </c>
      <c r="D293" s="26">
        <v>2.5</v>
      </c>
      <c r="E293" s="36">
        <v>2</v>
      </c>
      <c r="F293" s="27">
        <v>1.2999999999999999E-2</v>
      </c>
      <c r="G293" s="28" t="s">
        <v>771</v>
      </c>
      <c r="H293" s="26" t="s">
        <v>772</v>
      </c>
      <c r="I293" s="28" t="s">
        <v>773</v>
      </c>
      <c r="J293" s="26" t="s">
        <v>771</v>
      </c>
      <c r="K293" s="28" t="s">
        <v>774</v>
      </c>
      <c r="L293" s="28"/>
      <c r="M293" s="28"/>
      <c r="N293" s="26"/>
      <c r="O293" s="27" t="str">
        <f t="shared" si="4"/>
        <v/>
      </c>
      <c r="P293" s="26"/>
    </row>
    <row r="294" spans="1:16" ht="15.95" customHeight="1" x14ac:dyDescent="0.25">
      <c r="A294" s="26">
        <v>281</v>
      </c>
      <c r="B294" s="30">
        <v>46282</v>
      </c>
      <c r="C294" s="32" t="s">
        <v>15</v>
      </c>
      <c r="D294" s="26">
        <v>4</v>
      </c>
      <c r="E294" s="36">
        <v>4</v>
      </c>
      <c r="F294" s="27">
        <v>3.3160000000000002E-2</v>
      </c>
      <c r="G294" s="28" t="s">
        <v>775</v>
      </c>
      <c r="H294" s="26" t="s">
        <v>776</v>
      </c>
      <c r="I294" s="28" t="s">
        <v>777</v>
      </c>
      <c r="J294" s="26" t="s">
        <v>387</v>
      </c>
      <c r="K294" s="28" t="s">
        <v>774</v>
      </c>
      <c r="L294" s="28"/>
      <c r="M294" s="28"/>
      <c r="N294" s="26"/>
      <c r="O294" s="27" t="str">
        <f t="shared" si="4"/>
        <v/>
      </c>
      <c r="P294" s="26"/>
    </row>
    <row r="295" spans="1:16" ht="15.95" customHeight="1" x14ac:dyDescent="0.25">
      <c r="A295" s="26">
        <v>282</v>
      </c>
      <c r="B295" s="30">
        <v>46300</v>
      </c>
      <c r="C295" s="32" t="s">
        <v>13</v>
      </c>
      <c r="D295" s="26">
        <v>4.5</v>
      </c>
      <c r="E295" s="36">
        <v>5</v>
      </c>
      <c r="F295" s="27">
        <v>7.4745000000000006E-2</v>
      </c>
      <c r="G295" s="28" t="s">
        <v>691</v>
      </c>
      <c r="H295" s="26" t="str">
        <f>IFERROR(INDEX(REALDATA!$C$2:$C$1048576,MATCH(G295,REALDATA!$B$2:$B$1048576,0)),"")</f>
        <v>000/ELM</v>
      </c>
      <c r="I295" s="28" t="s">
        <v>693</v>
      </c>
      <c r="J295" s="26" t="s">
        <v>387</v>
      </c>
      <c r="K295" s="28" t="s">
        <v>694</v>
      </c>
      <c r="L295" s="28"/>
      <c r="M295" s="28"/>
      <c r="N295" s="26"/>
      <c r="O295" s="27" t="str">
        <f t="shared" si="4"/>
        <v/>
      </c>
      <c r="P295" s="26"/>
    </row>
    <row r="296" spans="1:16" ht="15.95" customHeight="1" x14ac:dyDescent="0.25">
      <c r="A296" s="26">
        <v>283</v>
      </c>
      <c r="B296" s="30">
        <v>46300</v>
      </c>
      <c r="C296" s="32" t="s">
        <v>13</v>
      </c>
      <c r="D296" s="26">
        <v>7</v>
      </c>
      <c r="E296" s="36">
        <v>1</v>
      </c>
      <c r="F296" s="27">
        <v>3.6400000000000002E-2</v>
      </c>
      <c r="G296" s="28" t="s">
        <v>411</v>
      </c>
      <c r="H296" s="26" t="s">
        <v>778</v>
      </c>
      <c r="I296" s="28" t="s">
        <v>779</v>
      </c>
      <c r="J296" s="26" t="s">
        <v>411</v>
      </c>
      <c r="K296" s="28" t="s">
        <v>694</v>
      </c>
      <c r="L296" s="28"/>
      <c r="M296" s="28" t="s">
        <v>780</v>
      </c>
      <c r="N296" s="26"/>
      <c r="O296" s="27" t="str">
        <f t="shared" si="4"/>
        <v/>
      </c>
      <c r="P296" s="26"/>
    </row>
    <row r="297" spans="1:16" ht="15.95" customHeight="1" x14ac:dyDescent="0.25">
      <c r="A297" s="26">
        <v>284</v>
      </c>
      <c r="B297" s="30">
        <v>46300</v>
      </c>
      <c r="C297" s="32" t="s">
        <v>17</v>
      </c>
      <c r="D297" s="26">
        <v>2.5</v>
      </c>
      <c r="E297" s="36">
        <v>28</v>
      </c>
      <c r="F297" s="27">
        <v>0.110595</v>
      </c>
      <c r="G297" s="28" t="s">
        <v>781</v>
      </c>
      <c r="H297" s="26" t="str">
        <f>IFERROR(INDEX(REALDATA!$C$2:$C$1048576,MATCH(G297,REALDATA!$B$2:$B$1048576,0)),"")</f>
        <v>093/RD</v>
      </c>
      <c r="I297" s="28" t="s">
        <v>782</v>
      </c>
      <c r="J297" s="26" t="s">
        <v>387</v>
      </c>
      <c r="K297" s="28" t="s">
        <v>783</v>
      </c>
      <c r="L297" s="28"/>
      <c r="M297" s="28"/>
      <c r="N297" s="26"/>
      <c r="O297" s="27" t="str">
        <f t="shared" si="4"/>
        <v/>
      </c>
      <c r="P297" s="26"/>
    </row>
    <row r="298" spans="1:16" ht="15.95" customHeight="1" x14ac:dyDescent="0.25">
      <c r="A298" s="26">
        <v>285</v>
      </c>
      <c r="B298" s="30">
        <v>46300</v>
      </c>
      <c r="C298" s="32" t="s">
        <v>17</v>
      </c>
      <c r="D298" s="26">
        <v>3.5</v>
      </c>
      <c r="E298" s="36">
        <v>41</v>
      </c>
      <c r="F298" s="27">
        <v>0.35637000000000002</v>
      </c>
      <c r="G298" s="28" t="s">
        <v>781</v>
      </c>
      <c r="H298" s="26" t="str">
        <f>IFERROR(INDEX(REALDATA!$C$2:$C$1048576,MATCH(G298,REALDATA!$B$2:$B$1048576,0)),"")</f>
        <v>093/RD</v>
      </c>
      <c r="I298" s="28" t="s">
        <v>782</v>
      </c>
      <c r="J298" s="26" t="s">
        <v>387</v>
      </c>
      <c r="K298" s="28" t="s">
        <v>783</v>
      </c>
      <c r="L298" s="28"/>
      <c r="M298" s="28"/>
      <c r="N298" s="26"/>
      <c r="O298" s="27" t="str">
        <f t="shared" si="4"/>
        <v/>
      </c>
      <c r="P298" s="26"/>
    </row>
    <row r="299" spans="1:16" ht="15.95" customHeight="1" x14ac:dyDescent="0.25">
      <c r="A299" s="26">
        <v>286</v>
      </c>
      <c r="B299" s="30">
        <v>46301</v>
      </c>
      <c r="C299" s="32" t="s">
        <v>17</v>
      </c>
      <c r="D299" s="26">
        <v>2.5</v>
      </c>
      <c r="E299" s="36">
        <v>15</v>
      </c>
      <c r="F299" s="27">
        <v>6.5924999999999997E-2</v>
      </c>
      <c r="G299" s="28" t="s">
        <v>781</v>
      </c>
      <c r="H299" s="26" t="str">
        <f>IFERROR(INDEX(REALDATA!$C$2:$C$1048576,MATCH(G299,REALDATA!$B$2:$B$1048576,0)),"")</f>
        <v>093/RD</v>
      </c>
      <c r="I299" s="28" t="s">
        <v>782</v>
      </c>
      <c r="J299" s="26" t="s">
        <v>387</v>
      </c>
      <c r="K299" s="28" t="s">
        <v>783</v>
      </c>
      <c r="L299" s="28"/>
      <c r="M299" s="28"/>
      <c r="N299" s="26"/>
      <c r="O299" s="27" t="str">
        <f t="shared" si="4"/>
        <v/>
      </c>
      <c r="P299" s="26"/>
    </row>
    <row r="300" spans="1:16" ht="15.95" customHeight="1" x14ac:dyDescent="0.25">
      <c r="A300" s="26">
        <v>287</v>
      </c>
      <c r="B300" s="30">
        <v>46301</v>
      </c>
      <c r="C300" s="32" t="s">
        <v>17</v>
      </c>
      <c r="D300" s="26">
        <v>3.5</v>
      </c>
      <c r="E300" s="36">
        <v>7</v>
      </c>
      <c r="F300" s="27">
        <v>7.1645E-2</v>
      </c>
      <c r="G300" s="28" t="s">
        <v>781</v>
      </c>
      <c r="H300" s="26" t="str">
        <f>IFERROR(INDEX(REALDATA!$C$2:$C$1048576,MATCH(G300,REALDATA!$B$2:$B$1048576,0)),"")</f>
        <v>093/RD</v>
      </c>
      <c r="I300" s="28" t="s">
        <v>782</v>
      </c>
      <c r="J300" s="26" t="s">
        <v>387</v>
      </c>
      <c r="K300" s="28" t="s">
        <v>783</v>
      </c>
      <c r="L300" s="28"/>
      <c r="M300" s="28"/>
      <c r="N300" s="26"/>
      <c r="O300" s="27" t="str">
        <f t="shared" si="4"/>
        <v/>
      </c>
      <c r="P300" s="26"/>
    </row>
    <row r="301" spans="1:16" ht="15.95" customHeight="1" x14ac:dyDescent="0.25">
      <c r="A301" s="26">
        <v>288</v>
      </c>
      <c r="B301" s="30">
        <v>46302</v>
      </c>
      <c r="C301" s="32" t="s">
        <v>17</v>
      </c>
      <c r="D301" s="26">
        <v>3.5</v>
      </c>
      <c r="E301" s="36">
        <v>11</v>
      </c>
      <c r="F301" s="27">
        <v>9.3939999999999996E-2</v>
      </c>
      <c r="G301" s="28" t="s">
        <v>781</v>
      </c>
      <c r="H301" s="26" t="str">
        <f>IFERROR(INDEX(REALDATA!$C$2:$C$1048576,MATCH(G301,REALDATA!$B$2:$B$1048576,0)),"")</f>
        <v>093/RD</v>
      </c>
      <c r="I301" s="28" t="s">
        <v>782</v>
      </c>
      <c r="J301" s="26" t="s">
        <v>387</v>
      </c>
      <c r="K301" s="28" t="s">
        <v>783</v>
      </c>
      <c r="L301" s="28"/>
      <c r="M301" s="28"/>
      <c r="N301" s="26"/>
      <c r="O301" s="27" t="str">
        <f t="shared" si="4"/>
        <v/>
      </c>
      <c r="P301" s="26"/>
    </row>
    <row r="302" spans="1:16" ht="15.95" customHeight="1" x14ac:dyDescent="0.25">
      <c r="A302" s="26">
        <v>289</v>
      </c>
      <c r="B302" s="30">
        <v>46302</v>
      </c>
      <c r="C302" s="32" t="s">
        <v>13</v>
      </c>
      <c r="D302" s="26">
        <v>4.5</v>
      </c>
      <c r="E302" s="36">
        <v>15</v>
      </c>
      <c r="F302" s="27">
        <v>0.211725</v>
      </c>
      <c r="G302" s="28" t="s">
        <v>784</v>
      </c>
      <c r="H302" s="26" t="str">
        <f>IFERROR(INDEX(REALDATA!$C$2:$C$1048576,MATCH(G302,REALDATA!$B$2:$B$1048576,0)),"")</f>
        <v>125/FJ</v>
      </c>
      <c r="I302" s="28" t="s">
        <v>785</v>
      </c>
      <c r="J302" s="26" t="s">
        <v>387</v>
      </c>
      <c r="K302" s="28" t="s">
        <v>694</v>
      </c>
      <c r="L302" s="28"/>
      <c r="M302" s="28"/>
      <c r="N302" s="26"/>
      <c r="O302" s="27" t="str">
        <f t="shared" si="4"/>
        <v/>
      </c>
      <c r="P302" s="26"/>
    </row>
    <row r="303" spans="1:16" ht="15.95" customHeight="1" x14ac:dyDescent="0.25">
      <c r="A303" s="26">
        <v>290</v>
      </c>
      <c r="B303" s="30">
        <v>46302</v>
      </c>
      <c r="C303" s="32" t="s">
        <v>13</v>
      </c>
      <c r="D303" s="26">
        <v>5</v>
      </c>
      <c r="E303" s="36">
        <v>3</v>
      </c>
      <c r="F303" s="27">
        <v>8.5250000000000006E-2</v>
      </c>
      <c r="G303" s="28" t="s">
        <v>784</v>
      </c>
      <c r="H303" s="26" t="str">
        <f>IFERROR(INDEX(REALDATA!$C$2:$C$1048576,MATCH(G303,REALDATA!$B$2:$B$1048576,0)),"")</f>
        <v>125/FJ</v>
      </c>
      <c r="I303" s="28" t="s">
        <v>786</v>
      </c>
      <c r="J303" s="26" t="s">
        <v>387</v>
      </c>
      <c r="K303" s="28" t="s">
        <v>694</v>
      </c>
      <c r="L303" s="28"/>
      <c r="M303" s="28"/>
      <c r="N303" s="26"/>
      <c r="O303" s="27" t="str">
        <f t="shared" si="4"/>
        <v/>
      </c>
      <c r="P303" s="26"/>
    </row>
    <row r="304" spans="1:16" ht="15.95" customHeight="1" x14ac:dyDescent="0.25">
      <c r="A304" s="26">
        <v>291</v>
      </c>
      <c r="B304" s="30">
        <v>46303</v>
      </c>
      <c r="C304" s="32" t="s">
        <v>13</v>
      </c>
      <c r="D304" s="26">
        <v>3.5</v>
      </c>
      <c r="E304" s="36">
        <v>18</v>
      </c>
      <c r="F304" s="27">
        <v>0.22662499999999999</v>
      </c>
      <c r="G304" s="28" t="s">
        <v>784</v>
      </c>
      <c r="H304" s="26" t="str">
        <f>IFERROR(INDEX(REALDATA!$C$2:$C$1048576,MATCH(G304,REALDATA!$B$2:$B$1048576,0)),"")</f>
        <v>125/FJ</v>
      </c>
      <c r="I304" s="28" t="s">
        <v>787</v>
      </c>
      <c r="J304" s="26" t="s">
        <v>387</v>
      </c>
      <c r="K304" s="28" t="s">
        <v>694</v>
      </c>
      <c r="L304" s="28"/>
      <c r="M304" s="28"/>
      <c r="N304" s="26"/>
      <c r="O304" s="27" t="str">
        <f t="shared" si="4"/>
        <v/>
      </c>
      <c r="P304" s="26"/>
    </row>
    <row r="305" spans="1:16" ht="15.95" customHeight="1" x14ac:dyDescent="0.25">
      <c r="A305" s="26">
        <v>292</v>
      </c>
      <c r="B305" s="30">
        <v>46303</v>
      </c>
      <c r="C305" s="32" t="s">
        <v>13</v>
      </c>
      <c r="D305" s="26">
        <v>4.5</v>
      </c>
      <c r="E305" s="36">
        <v>10</v>
      </c>
      <c r="F305" s="27">
        <v>0.18423</v>
      </c>
      <c r="G305" s="28" t="s">
        <v>784</v>
      </c>
      <c r="H305" s="26" t="str">
        <f>IFERROR(INDEX(REALDATA!$C$2:$C$1048576,MATCH(G305,REALDATA!$B$2:$B$1048576,0)),"")</f>
        <v>125/FJ</v>
      </c>
      <c r="I305" s="28" t="s">
        <v>787</v>
      </c>
      <c r="J305" s="26" t="s">
        <v>387</v>
      </c>
      <c r="K305" s="28" t="s">
        <v>694</v>
      </c>
      <c r="L305" s="28"/>
      <c r="M305" s="28"/>
      <c r="N305" s="26"/>
      <c r="O305" s="27" t="str">
        <f t="shared" si="4"/>
        <v/>
      </c>
      <c r="P305" s="26"/>
    </row>
    <row r="306" spans="1:16" ht="15.95" customHeight="1" x14ac:dyDescent="0.25">
      <c r="A306" s="26">
        <v>293</v>
      </c>
      <c r="B306" s="30">
        <v>46303</v>
      </c>
      <c r="C306" s="32" t="s">
        <v>13</v>
      </c>
      <c r="D306" s="26">
        <v>5</v>
      </c>
      <c r="E306" s="36">
        <v>1</v>
      </c>
      <c r="F306" s="27">
        <v>1.9199999999999998E-2</v>
      </c>
      <c r="G306" s="28" t="s">
        <v>411</v>
      </c>
      <c r="H306" s="26" t="s">
        <v>778</v>
      </c>
      <c r="I306" s="28" t="s">
        <v>788</v>
      </c>
      <c r="J306" s="26" t="s">
        <v>411</v>
      </c>
      <c r="K306" s="28" t="s">
        <v>694</v>
      </c>
      <c r="L306" s="28"/>
      <c r="M306" s="28" t="s">
        <v>780</v>
      </c>
      <c r="N306" s="26"/>
      <c r="O306" s="27" t="str">
        <f t="shared" si="4"/>
        <v/>
      </c>
      <c r="P306" s="26"/>
    </row>
    <row r="307" spans="1:16" ht="15.95" customHeight="1" x14ac:dyDescent="0.25">
      <c r="A307" s="26">
        <v>294</v>
      </c>
      <c r="B307" s="30">
        <v>46303</v>
      </c>
      <c r="C307" s="32" t="s">
        <v>13</v>
      </c>
      <c r="D307" s="26">
        <v>6</v>
      </c>
      <c r="E307" s="36">
        <v>4</v>
      </c>
      <c r="F307" s="27">
        <v>9.7439999999999999E-2</v>
      </c>
      <c r="G307" s="28" t="s">
        <v>784</v>
      </c>
      <c r="H307" s="26" t="str">
        <f>IFERROR(INDEX(REALDATA!$C$2:$C$1048576,MATCH(G307,REALDATA!$B$2:$B$1048576,0)),"")</f>
        <v>125/FJ</v>
      </c>
      <c r="I307" s="28" t="s">
        <v>789</v>
      </c>
      <c r="J307" s="26" t="s">
        <v>387</v>
      </c>
      <c r="K307" s="28" t="s">
        <v>694</v>
      </c>
      <c r="L307" s="28"/>
      <c r="M307" s="28"/>
      <c r="N307" s="26"/>
      <c r="O307" s="27" t="str">
        <f t="shared" si="4"/>
        <v/>
      </c>
      <c r="P307" s="26"/>
    </row>
    <row r="308" spans="1:16" ht="15.95" customHeight="1" x14ac:dyDescent="0.25">
      <c r="A308" s="26">
        <v>295</v>
      </c>
      <c r="B308" s="30">
        <v>46304</v>
      </c>
      <c r="C308" s="32" t="s">
        <v>13</v>
      </c>
      <c r="D308" s="26">
        <v>3.5</v>
      </c>
      <c r="E308" s="36">
        <v>5</v>
      </c>
      <c r="F308" s="27">
        <v>5.6665E-2</v>
      </c>
      <c r="G308" s="28" t="s">
        <v>784</v>
      </c>
      <c r="H308" s="26" t="str">
        <f>IFERROR(INDEX(REALDATA!$C$2:$C$1048576,MATCH(G308,REALDATA!$B$2:$B$1048576,0)),"")</f>
        <v>125/FJ</v>
      </c>
      <c r="I308" s="28" t="s">
        <v>790</v>
      </c>
      <c r="J308" s="26" t="s">
        <v>387</v>
      </c>
      <c r="K308" s="28" t="s">
        <v>694</v>
      </c>
      <c r="L308" s="28"/>
      <c r="M308" s="28"/>
      <c r="N308" s="26"/>
      <c r="O308" s="27" t="str">
        <f t="shared" si="4"/>
        <v/>
      </c>
      <c r="P308" s="26"/>
    </row>
    <row r="309" spans="1:16" ht="15.95" customHeight="1" x14ac:dyDescent="0.25">
      <c r="A309" s="26">
        <v>296</v>
      </c>
      <c r="B309" s="30">
        <v>46304</v>
      </c>
      <c r="C309" s="32" t="s">
        <v>13</v>
      </c>
      <c r="D309" s="26">
        <v>7</v>
      </c>
      <c r="E309" s="36">
        <v>22</v>
      </c>
      <c r="F309" s="27">
        <v>0.97033999999999998</v>
      </c>
      <c r="G309" s="28" t="s">
        <v>784</v>
      </c>
      <c r="H309" s="26" t="str">
        <f>IFERROR(INDEX(REALDATA!$C$2:$C$1048576,MATCH(G309,REALDATA!$B$2:$B$1048576,0)),"")</f>
        <v>125/FJ</v>
      </c>
      <c r="I309" s="28" t="s">
        <v>787</v>
      </c>
      <c r="J309" s="26" t="s">
        <v>387</v>
      </c>
      <c r="K309" s="28" t="s">
        <v>694</v>
      </c>
      <c r="L309" s="28"/>
      <c r="M309" s="28"/>
      <c r="N309" s="26"/>
      <c r="O309" s="27" t="str">
        <f t="shared" si="4"/>
        <v/>
      </c>
      <c r="P309" s="26"/>
    </row>
    <row r="310" spans="1:16" ht="15.95" customHeight="1" x14ac:dyDescent="0.25">
      <c r="A310" s="26">
        <v>297</v>
      </c>
      <c r="B310" s="30">
        <v>46283</v>
      </c>
      <c r="C310" s="32" t="s">
        <v>13</v>
      </c>
      <c r="D310" s="34">
        <v>5.5</v>
      </c>
      <c r="E310" s="36"/>
      <c r="F310" s="27">
        <f>IN!G47</f>
        <v>1.1761999999999999</v>
      </c>
      <c r="G310" s="28"/>
      <c r="H310" s="26"/>
      <c r="I310" s="28"/>
      <c r="J310" s="26" t="s">
        <v>387</v>
      </c>
      <c r="K310" s="28" t="s">
        <v>791</v>
      </c>
      <c r="L310" s="28" t="s">
        <v>792</v>
      </c>
      <c r="M310" s="28"/>
      <c r="N310" s="26"/>
      <c r="O310" s="27">
        <f t="shared" si="4"/>
        <v>1.1761999999999999</v>
      </c>
      <c r="P310" s="26" t="s">
        <v>793</v>
      </c>
    </row>
    <row r="311" spans="1:16" ht="15.95" customHeight="1" x14ac:dyDescent="0.25">
      <c r="A311" s="26">
        <v>298</v>
      </c>
      <c r="B311" s="30">
        <v>46301</v>
      </c>
      <c r="C311" s="32" t="s">
        <v>13</v>
      </c>
      <c r="D311" s="26">
        <v>4.5</v>
      </c>
      <c r="E311" s="36">
        <v>8</v>
      </c>
      <c r="F311" s="27">
        <v>0.117855</v>
      </c>
      <c r="G311" s="28" t="s">
        <v>784</v>
      </c>
      <c r="H311" s="26" t="str">
        <f>IFERROR(INDEX(REALDATA!$C$2:$C$1048576,MATCH(G311,REALDATA!$B$2:$B$1048576,0)),"")</f>
        <v>125/FJ</v>
      </c>
      <c r="I311" s="28" t="s">
        <v>789</v>
      </c>
      <c r="J311" s="26" t="s">
        <v>387</v>
      </c>
      <c r="K311" s="28" t="s">
        <v>694</v>
      </c>
      <c r="L311" s="28"/>
      <c r="M311" s="28"/>
      <c r="N311" s="26"/>
      <c r="O311" s="27" t="str">
        <f t="shared" si="4"/>
        <v/>
      </c>
      <c r="P311" s="26"/>
    </row>
    <row r="312" spans="1:16" ht="15.95" customHeight="1" x14ac:dyDescent="0.25">
      <c r="A312" s="26">
        <v>299</v>
      </c>
      <c r="B312" s="30">
        <v>46301</v>
      </c>
      <c r="C312" s="32" t="s">
        <v>13</v>
      </c>
      <c r="D312" s="26">
        <v>5</v>
      </c>
      <c r="E312" s="36">
        <v>15</v>
      </c>
      <c r="F312" s="27">
        <v>0.26634999999999998</v>
      </c>
      <c r="G312" s="28" t="s">
        <v>784</v>
      </c>
      <c r="H312" s="26" t="str">
        <f>IFERROR(INDEX(REALDATA!$C$2:$C$1048576,MATCH(G312,REALDATA!$B$2:$B$1048576,0)),"")</f>
        <v>125/FJ</v>
      </c>
      <c r="I312" s="28" t="s">
        <v>789</v>
      </c>
      <c r="J312" s="26" t="s">
        <v>387</v>
      </c>
      <c r="K312" s="28" t="s">
        <v>694</v>
      </c>
      <c r="L312" s="28"/>
      <c r="M312" s="28"/>
      <c r="N312" s="26"/>
      <c r="O312" s="27" t="str">
        <f t="shared" si="4"/>
        <v/>
      </c>
      <c r="P312" s="26"/>
    </row>
    <row r="313" spans="1:16" ht="15.95" customHeight="1" x14ac:dyDescent="0.25">
      <c r="A313" s="26">
        <v>300</v>
      </c>
      <c r="B313" s="30">
        <v>46303</v>
      </c>
      <c r="C313" s="32" t="s">
        <v>13</v>
      </c>
      <c r="D313" s="34">
        <v>5</v>
      </c>
      <c r="E313" s="36">
        <v>0</v>
      </c>
      <c r="F313" s="27">
        <v>-1.9599999999999999E-2</v>
      </c>
      <c r="G313" s="28"/>
      <c r="H313" s="26"/>
      <c r="I313" s="28" t="s">
        <v>794</v>
      </c>
      <c r="J313" s="26" t="s">
        <v>387</v>
      </c>
      <c r="K313" s="28" t="s">
        <v>791</v>
      </c>
      <c r="L313" s="28" t="s">
        <v>792</v>
      </c>
      <c r="M313" s="28"/>
      <c r="N313" s="26"/>
      <c r="O313" s="27">
        <f t="shared" si="4"/>
        <v>-1.9599999999999999E-2</v>
      </c>
      <c r="P313" s="26" t="s">
        <v>795</v>
      </c>
    </row>
    <row r="314" spans="1:16" ht="15.95" customHeight="1" x14ac:dyDescent="0.25">
      <c r="A314" s="26">
        <v>301</v>
      </c>
      <c r="B314" s="30">
        <v>46302</v>
      </c>
      <c r="C314" s="32" t="s">
        <v>13</v>
      </c>
      <c r="D314" s="34">
        <v>4.5</v>
      </c>
      <c r="E314" s="36">
        <v>-1</v>
      </c>
      <c r="F314" s="27">
        <v>-5.5620000000000003E-2</v>
      </c>
      <c r="G314" s="28"/>
      <c r="H314" s="26" t="str">
        <f>IFERROR(INDEX(REALDATA!$C$2:$C$1048576,MATCH(G314,REALDATA!$B$2:$B$1048576,0)),"")</f>
        <v/>
      </c>
      <c r="I314" s="28" t="s">
        <v>794</v>
      </c>
      <c r="J314" s="26" t="s">
        <v>387</v>
      </c>
      <c r="K314" s="28" t="s">
        <v>791</v>
      </c>
      <c r="L314" s="28" t="s">
        <v>792</v>
      </c>
      <c r="M314" s="28"/>
      <c r="N314" s="26"/>
      <c r="O314" s="27">
        <f t="shared" si="4"/>
        <v>-5.5620000000000003E-2</v>
      </c>
      <c r="P314" s="26" t="s">
        <v>795</v>
      </c>
    </row>
    <row r="315" spans="1:16" ht="15.95" customHeight="1" x14ac:dyDescent="0.25">
      <c r="A315" s="26">
        <v>302</v>
      </c>
      <c r="B315" s="30">
        <v>46265</v>
      </c>
      <c r="C315" s="32" t="s">
        <v>15</v>
      </c>
      <c r="D315" s="34"/>
      <c r="E315" s="36"/>
      <c r="F315" s="27">
        <v>16.106461700000001</v>
      </c>
      <c r="G315" s="28"/>
      <c r="H315" s="26" t="str">
        <f>IFERROR(INDEX(REALDATA!$C$2:$C$1048576,MATCH(G315,REALDATA!$B$2:$B$1048576,0)),"")</f>
        <v/>
      </c>
      <c r="I315" s="28" t="s">
        <v>796</v>
      </c>
      <c r="J315" s="26" t="s">
        <v>387</v>
      </c>
      <c r="K315" s="28" t="s">
        <v>791</v>
      </c>
      <c r="L315" s="28" t="s">
        <v>792</v>
      </c>
      <c r="M315" s="28"/>
      <c r="N315" s="26"/>
      <c r="O315" s="27">
        <f t="shared" si="4"/>
        <v>16.106461700000001</v>
      </c>
      <c r="P315" s="26" t="s">
        <v>793</v>
      </c>
    </row>
    <row r="316" spans="1:16" ht="15.95" customHeight="1" x14ac:dyDescent="0.25">
      <c r="A316" s="26">
        <v>303</v>
      </c>
      <c r="B316" s="30">
        <v>46265</v>
      </c>
      <c r="C316" s="32" t="s">
        <v>13</v>
      </c>
      <c r="D316" s="34"/>
      <c r="E316" s="36"/>
      <c r="F316" s="27">
        <v>12.814180500000001</v>
      </c>
      <c r="G316" s="28"/>
      <c r="H316" s="26" t="str">
        <f>IFERROR(INDEX(REALDATA!$C$2:$C$1048576,MATCH(G316,REALDATA!$B$2:$B$1048576,0)),"")</f>
        <v/>
      </c>
      <c r="I316" s="28" t="s">
        <v>796</v>
      </c>
      <c r="J316" s="26" t="s">
        <v>387</v>
      </c>
      <c r="K316" s="28" t="s">
        <v>791</v>
      </c>
      <c r="L316" s="28" t="s">
        <v>792</v>
      </c>
      <c r="M316" s="28"/>
      <c r="N316" s="26"/>
      <c r="O316" s="27">
        <f t="shared" si="4"/>
        <v>12.500355500000001</v>
      </c>
      <c r="P316" s="26" t="s">
        <v>793</v>
      </c>
    </row>
    <row r="317" spans="1:16" ht="15.95" customHeight="1" x14ac:dyDescent="0.25">
      <c r="A317" s="26">
        <v>368</v>
      </c>
      <c r="B317" s="30">
        <v>46280</v>
      </c>
      <c r="C317" s="32" t="s">
        <v>13</v>
      </c>
      <c r="D317" s="26">
        <v>4.5</v>
      </c>
      <c r="E317" s="36">
        <v>23</v>
      </c>
      <c r="F317" s="27">
        <v>0.31382500000000002</v>
      </c>
      <c r="G317" s="28" t="s">
        <v>775</v>
      </c>
      <c r="H317" s="26" t="s">
        <v>776</v>
      </c>
      <c r="I317" s="28" t="s">
        <v>797</v>
      </c>
      <c r="J317" s="26" t="s">
        <v>387</v>
      </c>
      <c r="K317" s="28" t="s">
        <v>694</v>
      </c>
      <c r="L317" s="28"/>
      <c r="M317" s="28"/>
      <c r="N317" s="26"/>
      <c r="O317" s="27" t="str">
        <f t="shared" si="4"/>
        <v/>
      </c>
      <c r="P317" s="26"/>
    </row>
    <row r="318" spans="1:16" ht="15.95" customHeight="1" x14ac:dyDescent="0.25">
      <c r="A318" s="26">
        <v>369</v>
      </c>
      <c r="B318" s="30">
        <v>46280</v>
      </c>
      <c r="C318" s="32" t="s">
        <v>13</v>
      </c>
      <c r="D318" s="34"/>
      <c r="E318" s="36">
        <v>-23</v>
      </c>
      <c r="F318" s="27">
        <v>-0.31382500000000002</v>
      </c>
      <c r="G318" s="28"/>
      <c r="H318" s="26" t="str">
        <f>IFERROR(INDEX(REALDATA!$C$2:$C$1048576,MATCH(G318,REALDATA!$B$2:$B$1048576,0)),"")</f>
        <v/>
      </c>
      <c r="I318" s="28" t="s">
        <v>798</v>
      </c>
      <c r="J318" s="26" t="s">
        <v>387</v>
      </c>
      <c r="K318" s="28" t="s">
        <v>694</v>
      </c>
      <c r="L318" s="28" t="s">
        <v>792</v>
      </c>
      <c r="M318" s="28"/>
      <c r="N318" s="26">
        <v>303</v>
      </c>
      <c r="O318" s="27" t="str">
        <f t="shared" si="4"/>
        <v/>
      </c>
      <c r="P318" s="26" t="s">
        <v>799</v>
      </c>
    </row>
    <row r="319" spans="1:16" ht="15.95" customHeight="1" x14ac:dyDescent="0.25">
      <c r="A319" s="26">
        <v>304</v>
      </c>
      <c r="B319" s="30">
        <v>46297</v>
      </c>
      <c r="C319" s="32" t="s">
        <v>13</v>
      </c>
      <c r="D319" s="34"/>
      <c r="E319" s="36"/>
      <c r="F319" s="27">
        <v>0.56827000000000005</v>
      </c>
      <c r="G319" s="28"/>
      <c r="H319" s="26" t="str">
        <f>IFERROR(INDEX(REALDATA!$C$2:$C$1048576,MATCH(G319,REALDATA!$B$2:$B$1048576,0)),"")</f>
        <v/>
      </c>
      <c r="I319" s="28" t="s">
        <v>796</v>
      </c>
      <c r="J319" s="26" t="s">
        <v>387</v>
      </c>
      <c r="K319" s="28" t="s">
        <v>791</v>
      </c>
      <c r="L319" s="28" t="s">
        <v>792</v>
      </c>
      <c r="M319" s="28"/>
      <c r="N319" s="26"/>
      <c r="O319" s="27">
        <f t="shared" si="4"/>
        <v>0.17780000000000007</v>
      </c>
      <c r="P319" s="26" t="s">
        <v>793</v>
      </c>
    </row>
    <row r="320" spans="1:16" ht="15.95" customHeight="1" x14ac:dyDescent="0.25">
      <c r="A320" s="26">
        <v>358</v>
      </c>
      <c r="B320" s="30">
        <v>46293</v>
      </c>
      <c r="C320" s="32" t="s">
        <v>13</v>
      </c>
      <c r="D320" s="26">
        <v>4.5</v>
      </c>
      <c r="E320" s="36">
        <v>9</v>
      </c>
      <c r="F320" s="27">
        <v>0.16109999999999999</v>
      </c>
      <c r="G320" s="28" t="s">
        <v>691</v>
      </c>
      <c r="H320" s="26" t="str">
        <f>IFERROR(INDEX(REALDATA!$C$2:$C$1048576,MATCH(G320,REALDATA!$B$2:$B$1048576,0)),"")</f>
        <v>000/ELM</v>
      </c>
      <c r="I320" s="28" t="s">
        <v>693</v>
      </c>
      <c r="J320" s="26" t="s">
        <v>387</v>
      </c>
      <c r="K320" s="28" t="s">
        <v>694</v>
      </c>
      <c r="L320" s="28"/>
      <c r="M320" s="28"/>
      <c r="N320" s="26"/>
      <c r="O320" s="27" t="str">
        <f t="shared" si="4"/>
        <v/>
      </c>
      <c r="P320" s="26"/>
    </row>
    <row r="321" spans="1:16" ht="15.95" customHeight="1" x14ac:dyDescent="0.25">
      <c r="A321" s="26">
        <v>359</v>
      </c>
      <c r="B321" s="30">
        <v>46293</v>
      </c>
      <c r="C321" s="32" t="s">
        <v>13</v>
      </c>
      <c r="D321" s="34">
        <v>4.5</v>
      </c>
      <c r="E321" s="36">
        <v>-9</v>
      </c>
      <c r="F321" s="27">
        <v>-0.16109999999999999</v>
      </c>
      <c r="G321" s="28"/>
      <c r="H321" s="26" t="str">
        <f>IFERROR(INDEX(REALDATA!$C$2:$C$1048576,MATCH(G321,REALDATA!$B$2:$B$1048576,0)),"")</f>
        <v/>
      </c>
      <c r="I321" s="28" t="s">
        <v>798</v>
      </c>
      <c r="J321" s="26" t="s">
        <v>387</v>
      </c>
      <c r="K321" s="28" t="s">
        <v>694</v>
      </c>
      <c r="L321" s="28" t="s">
        <v>792</v>
      </c>
      <c r="M321" s="28"/>
      <c r="N321" s="26">
        <v>304</v>
      </c>
      <c r="O321" s="27" t="str">
        <f t="shared" si="4"/>
        <v/>
      </c>
      <c r="P321" s="26" t="s">
        <v>799</v>
      </c>
    </row>
    <row r="322" spans="1:16" ht="15.95" customHeight="1" x14ac:dyDescent="0.25">
      <c r="A322" s="26">
        <v>360</v>
      </c>
      <c r="B322" s="30">
        <v>46293</v>
      </c>
      <c r="C322" s="32" t="s">
        <v>13</v>
      </c>
      <c r="D322" s="26">
        <v>4.5</v>
      </c>
      <c r="E322" s="36">
        <v>3</v>
      </c>
      <c r="F322" s="27">
        <v>4.6800000000000001E-2</v>
      </c>
      <c r="G322" s="28" t="s">
        <v>691</v>
      </c>
      <c r="H322" s="26" t="str">
        <f>IFERROR(INDEX(REALDATA!$C$2:$C$1048576,MATCH(G322,REALDATA!$B$2:$B$1048576,0)),"")</f>
        <v>000/ELM</v>
      </c>
      <c r="I322" s="28" t="s">
        <v>696</v>
      </c>
      <c r="J322" s="26" t="s">
        <v>387</v>
      </c>
      <c r="K322" s="28" t="s">
        <v>694</v>
      </c>
      <c r="L322" s="28"/>
      <c r="M322" s="28"/>
      <c r="N322" s="26"/>
      <c r="O322" s="27" t="str">
        <f t="shared" si="4"/>
        <v/>
      </c>
      <c r="P322" s="26"/>
    </row>
    <row r="323" spans="1:16" ht="15.95" customHeight="1" x14ac:dyDescent="0.25">
      <c r="A323" s="26">
        <v>361</v>
      </c>
      <c r="B323" s="30">
        <v>46293</v>
      </c>
      <c r="C323" s="32" t="s">
        <v>13</v>
      </c>
      <c r="D323" s="34">
        <v>4.5</v>
      </c>
      <c r="E323" s="36">
        <v>-3</v>
      </c>
      <c r="F323" s="27">
        <v>-4.6800000000000001E-2</v>
      </c>
      <c r="G323" s="28"/>
      <c r="H323" s="26" t="str">
        <f>IFERROR(INDEX(REALDATA!$C$2:$C$1048576,MATCH(G323,REALDATA!$B$2:$B$1048576,0)),"")</f>
        <v/>
      </c>
      <c r="I323" s="28" t="s">
        <v>798</v>
      </c>
      <c r="J323" s="26" t="s">
        <v>387</v>
      </c>
      <c r="K323" s="28" t="s">
        <v>694</v>
      </c>
      <c r="L323" s="28" t="s">
        <v>792</v>
      </c>
      <c r="M323" s="28"/>
      <c r="N323" s="26">
        <v>304</v>
      </c>
      <c r="O323" s="27" t="str">
        <f t="shared" si="4"/>
        <v/>
      </c>
      <c r="P323" s="26" t="s">
        <v>799</v>
      </c>
    </row>
    <row r="324" spans="1:16" ht="15.95" customHeight="1" x14ac:dyDescent="0.25">
      <c r="A324" s="26">
        <v>362</v>
      </c>
      <c r="B324" s="30">
        <v>46294</v>
      </c>
      <c r="C324" s="32" t="s">
        <v>13</v>
      </c>
      <c r="D324" s="26">
        <v>4.5</v>
      </c>
      <c r="E324" s="36">
        <v>2</v>
      </c>
      <c r="F324" s="27">
        <v>3.3210000000000003E-2</v>
      </c>
      <c r="G324" s="28" t="s">
        <v>411</v>
      </c>
      <c r="H324" s="26" t="s">
        <v>778</v>
      </c>
      <c r="I324" s="28" t="s">
        <v>788</v>
      </c>
      <c r="J324" s="26" t="s">
        <v>411</v>
      </c>
      <c r="K324" s="28" t="s">
        <v>694</v>
      </c>
      <c r="L324" s="28"/>
      <c r="M324" s="28" t="s">
        <v>780</v>
      </c>
      <c r="N324" s="26"/>
      <c r="O324" s="27" t="str">
        <f t="shared" si="4"/>
        <v/>
      </c>
      <c r="P324" s="26"/>
    </row>
    <row r="325" spans="1:16" ht="15.95" customHeight="1" x14ac:dyDescent="0.25">
      <c r="A325" s="26">
        <v>363</v>
      </c>
      <c r="B325" s="30">
        <v>46294</v>
      </c>
      <c r="C325" s="32" t="s">
        <v>13</v>
      </c>
      <c r="D325" s="34">
        <v>4.5</v>
      </c>
      <c r="E325" s="36">
        <v>-2</v>
      </c>
      <c r="F325" s="27">
        <v>-3.3210000000000003E-2</v>
      </c>
      <c r="G325" s="28"/>
      <c r="H325" s="26" t="str">
        <f>IFERROR(INDEX(REALDATA!$C$2:$C$1048576,MATCH(G325,REALDATA!$B$2:$B$1048576,0)),"")</f>
        <v/>
      </c>
      <c r="I325" s="28" t="s">
        <v>798</v>
      </c>
      <c r="J325" s="26" t="s">
        <v>387</v>
      </c>
      <c r="K325" s="28" t="s">
        <v>694</v>
      </c>
      <c r="L325" s="28" t="s">
        <v>792</v>
      </c>
      <c r="M325" s="28"/>
      <c r="N325" s="26">
        <v>304</v>
      </c>
      <c r="O325" s="27" t="str">
        <f t="shared" si="4"/>
        <v/>
      </c>
      <c r="P325" s="26" t="s">
        <v>799</v>
      </c>
    </row>
    <row r="326" spans="1:16" ht="15.95" customHeight="1" x14ac:dyDescent="0.25">
      <c r="A326" s="26">
        <v>364</v>
      </c>
      <c r="B326" s="30">
        <v>46294</v>
      </c>
      <c r="C326" s="32" t="s">
        <v>13</v>
      </c>
      <c r="D326" s="26">
        <v>8</v>
      </c>
      <c r="E326" s="36">
        <v>3</v>
      </c>
      <c r="F326" s="27">
        <v>0.12479999999999999</v>
      </c>
      <c r="G326" s="28" t="s">
        <v>411</v>
      </c>
      <c r="H326" s="26" t="s">
        <v>778</v>
      </c>
      <c r="I326" s="28" t="s">
        <v>788</v>
      </c>
      <c r="J326" s="26" t="s">
        <v>411</v>
      </c>
      <c r="K326" s="28" t="s">
        <v>694</v>
      </c>
      <c r="L326" s="28"/>
      <c r="M326" s="28" t="s">
        <v>780</v>
      </c>
      <c r="N326" s="26"/>
      <c r="O326" s="27" t="str">
        <f t="shared" si="4"/>
        <v/>
      </c>
      <c r="P326" s="26"/>
    </row>
    <row r="327" spans="1:16" ht="15.95" customHeight="1" x14ac:dyDescent="0.25">
      <c r="A327" s="26">
        <v>365</v>
      </c>
      <c r="B327" s="30">
        <v>46294</v>
      </c>
      <c r="C327" s="32" t="s">
        <v>13</v>
      </c>
      <c r="D327" s="34">
        <v>8</v>
      </c>
      <c r="E327" s="36">
        <v>-3</v>
      </c>
      <c r="F327" s="27">
        <v>-0.12479999999999999</v>
      </c>
      <c r="G327" s="28"/>
      <c r="H327" s="26" t="str">
        <f>IFERROR(INDEX(REALDATA!$C$2:$C$1048576,MATCH(G327,REALDATA!$B$2:$B$1048576,0)),"")</f>
        <v/>
      </c>
      <c r="I327" s="28" t="s">
        <v>798</v>
      </c>
      <c r="J327" s="26" t="s">
        <v>387</v>
      </c>
      <c r="K327" s="28" t="s">
        <v>694</v>
      </c>
      <c r="L327" s="28" t="s">
        <v>792</v>
      </c>
      <c r="M327" s="28"/>
      <c r="N327" s="26">
        <v>304</v>
      </c>
      <c r="O327" s="27" t="str">
        <f t="shared" si="4"/>
        <v/>
      </c>
      <c r="P327" s="26" t="s">
        <v>799</v>
      </c>
    </row>
    <row r="328" spans="1:16" ht="15.95" customHeight="1" x14ac:dyDescent="0.25">
      <c r="A328" s="26">
        <v>366</v>
      </c>
      <c r="B328" s="30">
        <v>46297</v>
      </c>
      <c r="C328" s="32" t="s">
        <v>13</v>
      </c>
      <c r="D328" s="26">
        <v>2</v>
      </c>
      <c r="E328" s="36">
        <v>6</v>
      </c>
      <c r="F328" s="27">
        <v>2.4559999999999998E-2</v>
      </c>
      <c r="G328" s="28" t="s">
        <v>411</v>
      </c>
      <c r="H328" s="26" t="s">
        <v>415</v>
      </c>
      <c r="I328" s="28" t="s">
        <v>411</v>
      </c>
      <c r="J328" s="26" t="s">
        <v>411</v>
      </c>
      <c r="K328" s="28" t="s">
        <v>694</v>
      </c>
      <c r="L328" s="28"/>
      <c r="M328" s="28"/>
      <c r="N328" s="26"/>
      <c r="O328" s="27" t="str">
        <f t="shared" si="4"/>
        <v/>
      </c>
      <c r="P328" s="26"/>
    </row>
    <row r="329" spans="1:16" ht="15.95" customHeight="1" x14ac:dyDescent="0.25">
      <c r="A329" s="26">
        <v>367</v>
      </c>
      <c r="B329" s="30">
        <v>46297</v>
      </c>
      <c r="C329" s="32" t="s">
        <v>13</v>
      </c>
      <c r="D329" s="34">
        <v>2</v>
      </c>
      <c r="E329" s="36">
        <v>-6</v>
      </c>
      <c r="F329" s="27">
        <v>-2.4559999999999998E-2</v>
      </c>
      <c r="G329" s="28"/>
      <c r="H329" s="26" t="str">
        <f>IFERROR(INDEX(REALDATA!$C$2:$C$1048576,MATCH(G329,REALDATA!$B$2:$B$1048576,0)),"")</f>
        <v/>
      </c>
      <c r="I329" s="28" t="s">
        <v>798</v>
      </c>
      <c r="J329" s="26" t="s">
        <v>387</v>
      </c>
      <c r="K329" s="28" t="s">
        <v>694</v>
      </c>
      <c r="L329" s="28" t="s">
        <v>792</v>
      </c>
      <c r="M329" s="28"/>
      <c r="N329" s="26">
        <v>304</v>
      </c>
      <c r="O329" s="27" t="str">
        <f t="shared" si="4"/>
        <v/>
      </c>
      <c r="P329" s="26" t="s">
        <v>799</v>
      </c>
    </row>
    <row r="330" spans="1:16" ht="15.95" customHeight="1" x14ac:dyDescent="0.25">
      <c r="A330" s="26">
        <v>305</v>
      </c>
      <c r="B330" s="30">
        <v>46297</v>
      </c>
      <c r="C330" s="32" t="s">
        <v>13</v>
      </c>
      <c r="D330" s="34"/>
      <c r="E330" s="36"/>
      <c r="F330" s="27">
        <v>-2.3E-3</v>
      </c>
      <c r="G330" s="28"/>
      <c r="H330" s="26" t="str">
        <f>IFERROR(INDEX(REALDATA!$C$2:$C$1048576,MATCH(G330,REALDATA!$B$2:$B$1048576,0)),"")</f>
        <v/>
      </c>
      <c r="I330" s="28" t="s">
        <v>794</v>
      </c>
      <c r="J330" s="26" t="s">
        <v>387</v>
      </c>
      <c r="K330" s="28" t="s">
        <v>791</v>
      </c>
      <c r="L330" s="28" t="s">
        <v>792</v>
      </c>
      <c r="M330" s="28"/>
      <c r="N330" s="26"/>
      <c r="O330" s="27">
        <f t="shared" si="4"/>
        <v>-2.3E-3</v>
      </c>
      <c r="P330" s="26" t="s">
        <v>795</v>
      </c>
    </row>
    <row r="331" spans="1:16" ht="15.95" customHeight="1" x14ac:dyDescent="0.25">
      <c r="A331" s="26">
        <v>306</v>
      </c>
      <c r="B331" s="30">
        <v>46300</v>
      </c>
      <c r="C331" s="32" t="s">
        <v>17</v>
      </c>
      <c r="D331" s="34"/>
      <c r="E331" s="36"/>
      <c r="F331" s="27">
        <v>-2.5000000000000001E-5</v>
      </c>
      <c r="G331" s="28"/>
      <c r="H331" s="26" t="str">
        <f>IFERROR(INDEX(REALDATA!$C$2:$C$1048576,MATCH(G331,REALDATA!$B$2:$B$1048576,0)),"")</f>
        <v/>
      </c>
      <c r="I331" s="28" t="s">
        <v>794</v>
      </c>
      <c r="J331" s="26" t="s">
        <v>387</v>
      </c>
      <c r="K331" s="28" t="s">
        <v>791</v>
      </c>
      <c r="L331" s="28" t="s">
        <v>792</v>
      </c>
      <c r="M331" s="28"/>
      <c r="N331" s="26"/>
      <c r="O331" s="27">
        <f t="shared" si="4"/>
        <v>-2.5000000000000001E-5</v>
      </c>
      <c r="P331" s="26" t="s">
        <v>795</v>
      </c>
    </row>
    <row r="332" spans="1:16" ht="15.95" customHeight="1" x14ac:dyDescent="0.25">
      <c r="A332" s="26">
        <v>307</v>
      </c>
      <c r="B332" s="30">
        <v>46303</v>
      </c>
      <c r="C332" s="32" t="s">
        <v>13</v>
      </c>
      <c r="D332" s="34">
        <v>3.5</v>
      </c>
      <c r="E332" s="36">
        <v>0</v>
      </c>
      <c r="F332" s="27">
        <v>-5.3499999999999997E-3</v>
      </c>
      <c r="G332" s="28"/>
      <c r="H332" s="26" t="str">
        <f>IFERROR(INDEX(REALDATA!$C$2:$C$1048576,MATCH(G332,REALDATA!$B$2:$B$1048576,0)),"")</f>
        <v/>
      </c>
      <c r="I332" s="28" t="s">
        <v>800</v>
      </c>
      <c r="J332" s="26" t="s">
        <v>387</v>
      </c>
      <c r="K332" s="28" t="s">
        <v>791</v>
      </c>
      <c r="L332" s="28" t="s">
        <v>792</v>
      </c>
      <c r="M332" s="28"/>
      <c r="N332" s="26"/>
      <c r="O332" s="27">
        <f t="shared" si="4"/>
        <v>-5.3499999999999997E-3</v>
      </c>
      <c r="P332" s="26" t="s">
        <v>795</v>
      </c>
    </row>
    <row r="333" spans="1:16" ht="15.95" customHeight="1" x14ac:dyDescent="0.25">
      <c r="A333" s="26">
        <v>308</v>
      </c>
      <c r="B333" s="30">
        <v>46303</v>
      </c>
      <c r="C333" s="32" t="s">
        <v>13</v>
      </c>
      <c r="D333" s="34">
        <v>4.5</v>
      </c>
      <c r="E333" s="36">
        <v>0</v>
      </c>
      <c r="F333" s="27">
        <v>-8.0000000000000007E-5</v>
      </c>
      <c r="G333" s="28"/>
      <c r="H333" s="26" t="str">
        <f>IFERROR(INDEX(REALDATA!$C$2:$C$1048576,MATCH(G333,REALDATA!$B$2:$B$1048576,0)),"")</f>
        <v/>
      </c>
      <c r="I333" s="28" t="s">
        <v>800</v>
      </c>
      <c r="J333" s="26" t="s">
        <v>387</v>
      </c>
      <c r="K333" s="28" t="s">
        <v>791</v>
      </c>
      <c r="L333" s="28" t="s">
        <v>792</v>
      </c>
      <c r="M333" s="28"/>
      <c r="N333" s="26"/>
      <c r="O333" s="27">
        <f t="shared" si="4"/>
        <v>-8.0000000000000007E-5</v>
      </c>
      <c r="P333" s="26" t="s">
        <v>795</v>
      </c>
    </row>
    <row r="334" spans="1:16" ht="15.95" customHeight="1" x14ac:dyDescent="0.25">
      <c r="A334" s="26">
        <v>309</v>
      </c>
      <c r="B334" s="30">
        <v>46260</v>
      </c>
      <c r="C334" s="32" t="s">
        <v>13</v>
      </c>
      <c r="D334" s="34"/>
      <c r="E334" s="36"/>
      <c r="F334" s="27">
        <v>9.5750000000000002E-2</v>
      </c>
      <c r="G334" s="28" t="s">
        <v>411</v>
      </c>
      <c r="H334" s="26" t="str">
        <f>IFERROR(INDEX(REALDATA!$C$2:$C$1048576,MATCH(G334,REALDATA!$B$2:$B$1048576,0)),"")</f>
        <v/>
      </c>
      <c r="I334" s="28" t="s">
        <v>633</v>
      </c>
      <c r="J334" s="26" t="s">
        <v>411</v>
      </c>
      <c r="K334" s="28" t="s">
        <v>694</v>
      </c>
      <c r="L334" s="28"/>
      <c r="M334" s="28"/>
      <c r="N334" s="26"/>
      <c r="O334" s="27" t="str">
        <f t="shared" ref="O334:O397" si="5">IF(AND(L334="Adjustment",N334="",P334&lt;&gt;"Explained"),F334+SUMIFS($F$14:$F$5084,$N$14:$N$5084,A334,$L$14:$L$5084,"Adjustment"),"")</f>
        <v/>
      </c>
      <c r="P334" s="26"/>
    </row>
    <row r="335" spans="1:16" ht="15.95" customHeight="1" x14ac:dyDescent="0.25">
      <c r="A335" s="26">
        <v>310</v>
      </c>
      <c r="B335" s="30">
        <v>46260</v>
      </c>
      <c r="C335" s="32" t="s">
        <v>13</v>
      </c>
      <c r="D335" s="34"/>
      <c r="E335" s="36"/>
      <c r="F335" s="27">
        <v>0.66662500000000002</v>
      </c>
      <c r="G335" s="28" t="s">
        <v>801</v>
      </c>
      <c r="H335" s="26" t="str">
        <f>IFERROR(INDEX(REALDATA!$C$2:$C$1048576,MATCH(G335,REALDATA!$B$2:$B$1048576,0)),"")</f>
        <v/>
      </c>
      <c r="I335" s="28" t="s">
        <v>802</v>
      </c>
      <c r="J335" s="26" t="s">
        <v>387</v>
      </c>
      <c r="K335" s="28" t="s">
        <v>694</v>
      </c>
      <c r="L335" s="28"/>
      <c r="M335" s="28"/>
      <c r="N335" s="26"/>
      <c r="O335" s="27" t="str">
        <f t="shared" si="5"/>
        <v/>
      </c>
      <c r="P335" s="26"/>
    </row>
    <row r="336" spans="1:16" ht="15.95" customHeight="1" x14ac:dyDescent="0.25">
      <c r="A336" s="26">
        <v>311</v>
      </c>
      <c r="B336" s="30">
        <v>46265</v>
      </c>
      <c r="C336" s="32" t="s">
        <v>13</v>
      </c>
      <c r="D336" s="34"/>
      <c r="E336" s="36"/>
      <c r="F336" s="27">
        <v>0.18215999999999999</v>
      </c>
      <c r="G336" s="28" t="s">
        <v>803</v>
      </c>
      <c r="H336" s="26" t="str">
        <f>IFERROR(INDEX(REALDATA!$C$2:$C$1048576,MATCH(G336,REALDATA!$B$2:$B$1048576,0)),"")</f>
        <v>130/TR</v>
      </c>
      <c r="I336" s="28" t="s">
        <v>804</v>
      </c>
      <c r="J336" s="26" t="s">
        <v>387</v>
      </c>
      <c r="K336" s="28" t="s">
        <v>694</v>
      </c>
      <c r="L336" s="28"/>
      <c r="M336" s="28"/>
      <c r="N336" s="26"/>
      <c r="O336" s="27" t="str">
        <f t="shared" si="5"/>
        <v/>
      </c>
      <c r="P336" s="26"/>
    </row>
    <row r="337" spans="1:16" ht="15.95" customHeight="1" x14ac:dyDescent="0.25">
      <c r="A337" s="43">
        <v>312</v>
      </c>
      <c r="B337" s="44">
        <v>46266</v>
      </c>
      <c r="C337" s="45" t="s">
        <v>13</v>
      </c>
      <c r="D337" s="43">
        <v>6</v>
      </c>
      <c r="E337" s="46">
        <v>12</v>
      </c>
      <c r="F337" s="47">
        <v>0.53568000000000005</v>
      </c>
      <c r="G337" s="48" t="s">
        <v>763</v>
      </c>
      <c r="H337" s="43" t="str">
        <f>IFERROR(INDEX(REALDATA!$C$2:$C$1048576,MATCH(G337,REALDATA!$B$2:$B$1048576,0)),"")</f>
        <v>115/PA</v>
      </c>
      <c r="I337" s="48" t="s">
        <v>805</v>
      </c>
      <c r="J337" s="43" t="s">
        <v>387</v>
      </c>
      <c r="K337" s="48" t="s">
        <v>694</v>
      </c>
      <c r="L337" s="48"/>
      <c r="M337" s="28"/>
      <c r="N337" s="43"/>
      <c r="O337" s="47" t="str">
        <f t="shared" si="5"/>
        <v/>
      </c>
      <c r="P337" s="43"/>
    </row>
    <row r="338" spans="1:16" ht="15.95" customHeight="1" x14ac:dyDescent="0.25">
      <c r="A338" s="26">
        <v>313</v>
      </c>
      <c r="B338" s="30">
        <v>46268</v>
      </c>
      <c r="C338" s="32" t="s">
        <v>13</v>
      </c>
      <c r="D338" s="26">
        <v>4.5</v>
      </c>
      <c r="E338" s="36">
        <v>9</v>
      </c>
      <c r="F338" s="27">
        <v>0.13788</v>
      </c>
      <c r="G338" s="28" t="s">
        <v>803</v>
      </c>
      <c r="H338" s="26" t="str">
        <f>IFERROR(INDEX(REALDATA!$C$2:$C$1048576,MATCH(G338,REALDATA!$B$2:$B$1048576,0)),"")</f>
        <v>130/TR</v>
      </c>
      <c r="I338" s="28" t="s">
        <v>804</v>
      </c>
      <c r="J338" s="26" t="s">
        <v>387</v>
      </c>
      <c r="K338" s="28" t="s">
        <v>694</v>
      </c>
      <c r="L338" s="28"/>
      <c r="M338" s="28"/>
      <c r="N338" s="26"/>
      <c r="O338" s="27" t="str">
        <f t="shared" si="5"/>
        <v/>
      </c>
      <c r="P338" s="26"/>
    </row>
    <row r="339" spans="1:16" ht="15.95" customHeight="1" x14ac:dyDescent="0.25">
      <c r="A339" s="26">
        <v>314</v>
      </c>
      <c r="B339" s="30">
        <v>46268</v>
      </c>
      <c r="C339" s="32" t="s">
        <v>13</v>
      </c>
      <c r="D339" s="26">
        <v>4.5</v>
      </c>
      <c r="E339" s="36">
        <v>10</v>
      </c>
      <c r="F339" s="27">
        <v>0.1467</v>
      </c>
      <c r="G339" s="28" t="s">
        <v>803</v>
      </c>
      <c r="H339" s="26" t="str">
        <f>IFERROR(INDEX(REALDATA!$C$2:$C$1048576,MATCH(G339,REALDATA!$B$2:$B$1048576,0)),"")</f>
        <v>130/TR</v>
      </c>
      <c r="I339" s="28" t="s">
        <v>806</v>
      </c>
      <c r="J339" s="26" t="s">
        <v>387</v>
      </c>
      <c r="K339" s="28" t="s">
        <v>694</v>
      </c>
      <c r="L339" s="28"/>
      <c r="M339" s="28"/>
      <c r="N339" s="26"/>
      <c r="O339" s="27" t="str">
        <f t="shared" si="5"/>
        <v/>
      </c>
      <c r="P339" s="26"/>
    </row>
    <row r="340" spans="1:16" ht="15.95" customHeight="1" x14ac:dyDescent="0.25">
      <c r="A340" s="26">
        <v>315</v>
      </c>
      <c r="B340" s="30">
        <v>46268</v>
      </c>
      <c r="C340" s="32" t="s">
        <v>13</v>
      </c>
      <c r="D340" s="26">
        <v>4.5</v>
      </c>
      <c r="E340" s="36">
        <v>7</v>
      </c>
      <c r="F340" s="27">
        <v>0.10237499999999999</v>
      </c>
      <c r="G340" s="28" t="s">
        <v>807</v>
      </c>
      <c r="H340" s="26" t="str">
        <f>IFERROR(INDEX(REALDATA!$C$2:$C$1048576,MATCH(G340,REALDATA!$B$2:$B$1048576,0)),"")</f>
        <v>000/ELM</v>
      </c>
      <c r="I340" s="28" t="s">
        <v>797</v>
      </c>
      <c r="J340" s="26" t="s">
        <v>387</v>
      </c>
      <c r="K340" s="28" t="s">
        <v>694</v>
      </c>
      <c r="L340" s="28"/>
      <c r="M340" s="28"/>
      <c r="N340" s="26"/>
      <c r="O340" s="27" t="str">
        <f t="shared" si="5"/>
        <v/>
      </c>
      <c r="P340" s="26"/>
    </row>
    <row r="341" spans="1:16" ht="15.95" customHeight="1" x14ac:dyDescent="0.25">
      <c r="A341" s="26">
        <v>316</v>
      </c>
      <c r="B341" s="30">
        <v>46270</v>
      </c>
      <c r="C341" s="32" t="s">
        <v>13</v>
      </c>
      <c r="D341" s="26">
        <v>4.5</v>
      </c>
      <c r="E341" s="36">
        <v>60</v>
      </c>
      <c r="F341" s="27">
        <v>1.0263150000000001</v>
      </c>
      <c r="G341" s="28" t="s">
        <v>808</v>
      </c>
      <c r="H341" s="26" t="str">
        <f>IFERROR(INDEX(REALDATA!$C$2:$C$1048576,MATCH(G341,REALDATA!$B$2:$B$1048576,0)),"")</f>
        <v>000/ELM</v>
      </c>
      <c r="I341" s="28" t="s">
        <v>789</v>
      </c>
      <c r="J341" s="26" t="s">
        <v>387</v>
      </c>
      <c r="K341" s="28" t="s">
        <v>694</v>
      </c>
      <c r="L341" s="28"/>
      <c r="M341" s="28"/>
      <c r="N341" s="26"/>
      <c r="O341" s="27" t="str">
        <f t="shared" si="5"/>
        <v/>
      </c>
      <c r="P341" s="26"/>
    </row>
    <row r="342" spans="1:16" ht="15.95" customHeight="1" x14ac:dyDescent="0.25">
      <c r="A342" s="26">
        <v>317</v>
      </c>
      <c r="B342" s="30">
        <v>46270</v>
      </c>
      <c r="C342" s="32" t="s">
        <v>13</v>
      </c>
      <c r="D342" s="26">
        <v>4.5</v>
      </c>
      <c r="E342" s="36">
        <v>10</v>
      </c>
      <c r="F342" s="27">
        <v>0.13828499999999999</v>
      </c>
      <c r="G342" s="28" t="s">
        <v>803</v>
      </c>
      <c r="H342" s="26" t="str">
        <f>IFERROR(INDEX(REALDATA!$C$2:$C$1048576,MATCH(G342,REALDATA!$B$2:$B$1048576,0)),"")</f>
        <v>130/TR</v>
      </c>
      <c r="I342" s="28" t="s">
        <v>809</v>
      </c>
      <c r="J342" s="26" t="s">
        <v>387</v>
      </c>
      <c r="K342" s="28" t="s">
        <v>694</v>
      </c>
      <c r="L342" s="28"/>
      <c r="M342" s="28"/>
      <c r="N342" s="26"/>
      <c r="O342" s="27" t="str">
        <f t="shared" si="5"/>
        <v/>
      </c>
      <c r="P342" s="26"/>
    </row>
    <row r="343" spans="1:16" ht="15.95" customHeight="1" x14ac:dyDescent="0.25">
      <c r="A343" s="26">
        <v>318</v>
      </c>
      <c r="B343" s="30">
        <v>46272</v>
      </c>
      <c r="C343" s="32" t="s">
        <v>13</v>
      </c>
      <c r="D343" s="26">
        <v>4.5</v>
      </c>
      <c r="E343" s="36">
        <v>27</v>
      </c>
      <c r="F343" s="27">
        <v>0.40579999999999999</v>
      </c>
      <c r="G343" s="28" t="s">
        <v>808</v>
      </c>
      <c r="H343" s="26" t="str">
        <f>IFERROR(INDEX(REALDATA!$C$2:$C$1048576,MATCH(G343,REALDATA!$B$2:$B$1048576,0)),"")</f>
        <v>000/ELM</v>
      </c>
      <c r="I343" s="28" t="s">
        <v>789</v>
      </c>
      <c r="J343" s="26" t="s">
        <v>387</v>
      </c>
      <c r="K343" s="28" t="s">
        <v>694</v>
      </c>
      <c r="L343" s="28"/>
      <c r="M343" s="28"/>
      <c r="N343" s="26"/>
      <c r="O343" s="27" t="str">
        <f t="shared" si="5"/>
        <v/>
      </c>
      <c r="P343" s="26"/>
    </row>
    <row r="344" spans="1:16" ht="15.95" customHeight="1" x14ac:dyDescent="0.25">
      <c r="A344" s="26">
        <v>319</v>
      </c>
      <c r="B344" s="30">
        <v>46273</v>
      </c>
      <c r="C344" s="32" t="s">
        <v>13</v>
      </c>
      <c r="D344" s="26">
        <v>8</v>
      </c>
      <c r="E344" s="36">
        <v>4</v>
      </c>
      <c r="F344" s="27">
        <v>0.15040000000000001</v>
      </c>
      <c r="G344" s="28" t="s">
        <v>808</v>
      </c>
      <c r="H344" s="26" t="str">
        <f>IFERROR(INDEX(REALDATA!$C$2:$C$1048576,MATCH(G344,REALDATA!$B$2:$B$1048576,0)),"")</f>
        <v>000/ELM</v>
      </c>
      <c r="I344" s="28" t="s">
        <v>789</v>
      </c>
      <c r="J344" s="26" t="s">
        <v>387</v>
      </c>
      <c r="K344" s="28" t="s">
        <v>694</v>
      </c>
      <c r="L344" s="28"/>
      <c r="M344" s="28"/>
      <c r="N344" s="26"/>
      <c r="O344" s="27" t="str">
        <f t="shared" si="5"/>
        <v/>
      </c>
      <c r="P344" s="26"/>
    </row>
    <row r="345" spans="1:16" ht="15.95" customHeight="1" x14ac:dyDescent="0.25">
      <c r="A345" s="26">
        <v>320</v>
      </c>
      <c r="B345" s="30">
        <v>46277</v>
      </c>
      <c r="C345" s="32" t="s">
        <v>13</v>
      </c>
      <c r="D345" s="26">
        <v>3.5</v>
      </c>
      <c r="E345" s="36">
        <v>3</v>
      </c>
      <c r="F345" s="27">
        <v>3.6540000000000003E-2</v>
      </c>
      <c r="G345" s="28" t="s">
        <v>771</v>
      </c>
      <c r="H345" s="26" t="s">
        <v>772</v>
      </c>
      <c r="I345" s="28" t="s">
        <v>810</v>
      </c>
      <c r="J345" s="26" t="s">
        <v>771</v>
      </c>
      <c r="K345" s="28" t="s">
        <v>694</v>
      </c>
      <c r="L345" s="28"/>
      <c r="M345" s="28"/>
      <c r="N345" s="26"/>
      <c r="O345" s="27" t="str">
        <f t="shared" si="5"/>
        <v/>
      </c>
      <c r="P345" s="26"/>
    </row>
    <row r="346" spans="1:16" ht="15.95" customHeight="1" x14ac:dyDescent="0.25">
      <c r="A346" s="26">
        <v>321</v>
      </c>
      <c r="B346" s="30">
        <v>46277</v>
      </c>
      <c r="C346" s="32" t="s">
        <v>13</v>
      </c>
      <c r="D346" s="26">
        <v>3.5</v>
      </c>
      <c r="E346" s="36">
        <v>4</v>
      </c>
      <c r="F346" s="27">
        <v>3.9899999999999998E-2</v>
      </c>
      <c r="G346" s="28" t="s">
        <v>771</v>
      </c>
      <c r="H346" s="26" t="s">
        <v>772</v>
      </c>
      <c r="I346" s="28" t="s">
        <v>811</v>
      </c>
      <c r="J346" s="26" t="s">
        <v>771</v>
      </c>
      <c r="K346" s="28" t="s">
        <v>694</v>
      </c>
      <c r="L346" s="28"/>
      <c r="M346" s="28"/>
      <c r="N346" s="26"/>
      <c r="O346" s="27" t="str">
        <f t="shared" si="5"/>
        <v/>
      </c>
      <c r="P346" s="26"/>
    </row>
    <row r="347" spans="1:16" ht="15.95" customHeight="1" x14ac:dyDescent="0.25">
      <c r="A347" s="26">
        <v>322</v>
      </c>
      <c r="B347" s="30">
        <v>46280</v>
      </c>
      <c r="C347" s="32" t="s">
        <v>13</v>
      </c>
      <c r="D347" s="26">
        <v>3.5</v>
      </c>
      <c r="E347" s="36">
        <v>14</v>
      </c>
      <c r="F347" s="27">
        <v>0.164185</v>
      </c>
      <c r="G347" s="28" t="s">
        <v>775</v>
      </c>
      <c r="H347" s="26" t="s">
        <v>776</v>
      </c>
      <c r="I347" s="28" t="s">
        <v>797</v>
      </c>
      <c r="J347" s="26" t="s">
        <v>387</v>
      </c>
      <c r="K347" s="28" t="s">
        <v>694</v>
      </c>
      <c r="L347" s="28"/>
      <c r="M347" s="28"/>
      <c r="N347" s="26"/>
      <c r="O347" s="27" t="str">
        <f t="shared" si="5"/>
        <v/>
      </c>
      <c r="P347" s="26"/>
    </row>
    <row r="348" spans="1:16" ht="15.95" customHeight="1" x14ac:dyDescent="0.25">
      <c r="A348" s="26">
        <v>323</v>
      </c>
      <c r="B348" s="30">
        <v>46281</v>
      </c>
      <c r="C348" s="32" t="s">
        <v>13</v>
      </c>
      <c r="D348" s="26">
        <v>4.5</v>
      </c>
      <c r="E348" s="36">
        <v>24</v>
      </c>
      <c r="F348" s="27">
        <v>0.37140000000000001</v>
      </c>
      <c r="G348" s="28" t="s">
        <v>775</v>
      </c>
      <c r="H348" s="26" t="s">
        <v>776</v>
      </c>
      <c r="I348" s="28" t="s">
        <v>812</v>
      </c>
      <c r="J348" s="26" t="s">
        <v>387</v>
      </c>
      <c r="K348" s="28" t="s">
        <v>694</v>
      </c>
      <c r="L348" s="28"/>
      <c r="M348" s="28"/>
      <c r="N348" s="26"/>
      <c r="O348" s="27" t="str">
        <f t="shared" si="5"/>
        <v/>
      </c>
      <c r="P348" s="26"/>
    </row>
    <row r="349" spans="1:16" ht="15.95" customHeight="1" x14ac:dyDescent="0.25">
      <c r="A349" s="26">
        <v>324</v>
      </c>
      <c r="B349" s="30">
        <v>46281</v>
      </c>
      <c r="C349" s="32" t="s">
        <v>13</v>
      </c>
      <c r="D349" s="26">
        <v>3.5</v>
      </c>
      <c r="E349" s="36">
        <v>1</v>
      </c>
      <c r="F349" s="27">
        <v>2.5000000000000001E-2</v>
      </c>
      <c r="G349" s="28" t="s">
        <v>411</v>
      </c>
      <c r="H349" s="26" t="s">
        <v>415</v>
      </c>
      <c r="I349" s="28" t="s">
        <v>813</v>
      </c>
      <c r="J349" s="26" t="s">
        <v>411</v>
      </c>
      <c r="K349" s="28" t="s">
        <v>694</v>
      </c>
      <c r="L349" s="28"/>
      <c r="M349" s="28"/>
      <c r="N349" s="26"/>
      <c r="O349" s="27" t="str">
        <f t="shared" si="5"/>
        <v/>
      </c>
      <c r="P349" s="26"/>
    </row>
    <row r="350" spans="1:16" ht="15.95" customHeight="1" x14ac:dyDescent="0.25">
      <c r="A350" s="26">
        <v>325</v>
      </c>
      <c r="B350" s="30">
        <v>46282</v>
      </c>
      <c r="C350" s="32" t="s">
        <v>13</v>
      </c>
      <c r="D350" s="26">
        <v>3.5</v>
      </c>
      <c r="E350" s="36">
        <v>27</v>
      </c>
      <c r="F350" s="27">
        <v>0.39010499999999998</v>
      </c>
      <c r="G350" s="28" t="s">
        <v>814</v>
      </c>
      <c r="H350" s="26" t="s">
        <v>776</v>
      </c>
      <c r="I350" s="28" t="s">
        <v>797</v>
      </c>
      <c r="J350" s="26" t="s">
        <v>387</v>
      </c>
      <c r="K350" s="28" t="s">
        <v>694</v>
      </c>
      <c r="L350" s="28"/>
      <c r="M350" s="28"/>
      <c r="N350" s="26"/>
      <c r="O350" s="27" t="str">
        <f t="shared" si="5"/>
        <v/>
      </c>
      <c r="P350" s="26"/>
    </row>
    <row r="351" spans="1:16" ht="15.95" customHeight="1" x14ac:dyDescent="0.25">
      <c r="A351" s="26">
        <v>326</v>
      </c>
      <c r="B351" s="30">
        <v>46282</v>
      </c>
      <c r="C351" s="32" t="s">
        <v>13</v>
      </c>
      <c r="D351" s="26">
        <v>4.5</v>
      </c>
      <c r="E351" s="36">
        <v>15</v>
      </c>
      <c r="F351" s="27">
        <v>0.23860000000000001</v>
      </c>
      <c r="G351" s="28" t="s">
        <v>814</v>
      </c>
      <c r="H351" s="26" t="s">
        <v>776</v>
      </c>
      <c r="I351" s="28" t="s">
        <v>812</v>
      </c>
      <c r="J351" s="26" t="s">
        <v>387</v>
      </c>
      <c r="K351" s="28" t="s">
        <v>694</v>
      </c>
      <c r="L351" s="28"/>
      <c r="M351" s="28"/>
      <c r="N351" s="26"/>
      <c r="O351" s="27" t="str">
        <f t="shared" si="5"/>
        <v/>
      </c>
      <c r="P351" s="26"/>
    </row>
    <row r="352" spans="1:16" ht="15.95" customHeight="1" x14ac:dyDescent="0.25">
      <c r="A352" s="26">
        <v>327</v>
      </c>
      <c r="B352" s="30">
        <v>46283</v>
      </c>
      <c r="C352" s="32" t="s">
        <v>13</v>
      </c>
      <c r="D352" s="26">
        <v>3.5</v>
      </c>
      <c r="E352" s="36">
        <v>10</v>
      </c>
      <c r="F352" s="27">
        <v>0.16200000000000001</v>
      </c>
      <c r="G352" s="28" t="s">
        <v>814</v>
      </c>
      <c r="H352" s="26" t="s">
        <v>776</v>
      </c>
      <c r="I352" s="28" t="s">
        <v>797</v>
      </c>
      <c r="J352" s="26" t="s">
        <v>387</v>
      </c>
      <c r="K352" s="28" t="s">
        <v>694</v>
      </c>
      <c r="L352" s="28"/>
      <c r="M352" s="28"/>
      <c r="N352" s="26"/>
      <c r="O352" s="27" t="str">
        <f t="shared" si="5"/>
        <v/>
      </c>
      <c r="P352" s="26"/>
    </row>
    <row r="353" spans="1:16" ht="15.95" customHeight="1" x14ac:dyDescent="0.25">
      <c r="A353" s="26">
        <v>328</v>
      </c>
      <c r="B353" s="30">
        <v>46283</v>
      </c>
      <c r="C353" s="32" t="s">
        <v>13</v>
      </c>
      <c r="D353" s="26">
        <v>4.5</v>
      </c>
      <c r="E353" s="36">
        <v>4</v>
      </c>
      <c r="F353" s="27">
        <v>7.2999999999999995E-2</v>
      </c>
      <c r="G353" s="28" t="s">
        <v>814</v>
      </c>
      <c r="H353" s="26" t="s">
        <v>776</v>
      </c>
      <c r="I353" s="28" t="s">
        <v>812</v>
      </c>
      <c r="J353" s="26" t="s">
        <v>387</v>
      </c>
      <c r="K353" s="28" t="s">
        <v>694</v>
      </c>
      <c r="L353" s="28"/>
      <c r="M353" s="28"/>
      <c r="N353" s="26"/>
      <c r="O353" s="27" t="str">
        <f t="shared" si="5"/>
        <v/>
      </c>
      <c r="P353" s="26"/>
    </row>
    <row r="354" spans="1:16" ht="15.95" customHeight="1" x14ac:dyDescent="0.25">
      <c r="A354" s="26">
        <v>329</v>
      </c>
      <c r="B354" s="30">
        <v>46283</v>
      </c>
      <c r="C354" s="32" t="s">
        <v>13</v>
      </c>
      <c r="D354" s="26">
        <v>4.5</v>
      </c>
      <c r="E354" s="36">
        <v>32</v>
      </c>
      <c r="F354" s="27">
        <v>0.50531499999999996</v>
      </c>
      <c r="G354" s="28" t="s">
        <v>815</v>
      </c>
      <c r="H354" s="26" t="s">
        <v>816</v>
      </c>
      <c r="I354" s="28" t="s">
        <v>817</v>
      </c>
      <c r="J354" s="26" t="s">
        <v>387</v>
      </c>
      <c r="K354" s="28" t="s">
        <v>694</v>
      </c>
      <c r="L354" s="28"/>
      <c r="M354" s="28"/>
      <c r="N354" s="26"/>
      <c r="O354" s="27" t="str">
        <f t="shared" si="5"/>
        <v/>
      </c>
      <c r="P354" s="26"/>
    </row>
    <row r="355" spans="1:16" ht="15.95" customHeight="1" x14ac:dyDescent="0.25">
      <c r="A355" s="43">
        <v>331</v>
      </c>
      <c r="B355" s="44">
        <v>46283</v>
      </c>
      <c r="C355" s="45" t="s">
        <v>13</v>
      </c>
      <c r="D355" s="43">
        <v>3.5</v>
      </c>
      <c r="E355" s="46">
        <v>15</v>
      </c>
      <c r="F355" s="47">
        <v>0.17780000000000001</v>
      </c>
      <c r="G355" s="48" t="s">
        <v>818</v>
      </c>
      <c r="H355" s="43" t="s">
        <v>819</v>
      </c>
      <c r="I355" s="48" t="s">
        <v>820</v>
      </c>
      <c r="J355" s="43" t="s">
        <v>411</v>
      </c>
      <c r="K355" s="48" t="s">
        <v>694</v>
      </c>
      <c r="L355" s="48"/>
      <c r="M355" s="28" t="s">
        <v>818</v>
      </c>
      <c r="N355" s="43"/>
      <c r="O355" s="47" t="str">
        <f t="shared" si="5"/>
        <v/>
      </c>
      <c r="P355" s="43"/>
    </row>
    <row r="356" spans="1:16" ht="15.95" customHeight="1" x14ac:dyDescent="0.25">
      <c r="A356" s="26">
        <v>332</v>
      </c>
      <c r="B356" s="30">
        <v>46284</v>
      </c>
      <c r="C356" s="32" t="s">
        <v>13</v>
      </c>
      <c r="D356" s="26">
        <v>8</v>
      </c>
      <c r="E356" s="36">
        <v>14</v>
      </c>
      <c r="F356" s="27">
        <v>0.45440000000000003</v>
      </c>
      <c r="G356" s="28" t="s">
        <v>815</v>
      </c>
      <c r="H356" s="26" t="s">
        <v>816</v>
      </c>
      <c r="I356" s="28" t="s">
        <v>817</v>
      </c>
      <c r="J356" s="26" t="s">
        <v>387</v>
      </c>
      <c r="K356" s="28" t="s">
        <v>694</v>
      </c>
      <c r="L356" s="28"/>
      <c r="M356" s="28"/>
      <c r="N356" s="26"/>
      <c r="O356" s="27" t="str">
        <f t="shared" si="5"/>
        <v/>
      </c>
      <c r="P356" s="26"/>
    </row>
    <row r="357" spans="1:16" ht="15.95" customHeight="1" x14ac:dyDescent="0.25">
      <c r="A357" s="26">
        <v>333</v>
      </c>
      <c r="B357" s="30">
        <v>46286</v>
      </c>
      <c r="C357" s="32" t="s">
        <v>13</v>
      </c>
      <c r="D357" s="26">
        <v>4.5</v>
      </c>
      <c r="E357" s="36">
        <v>3</v>
      </c>
      <c r="F357" s="27">
        <v>8.7650000000000006E-2</v>
      </c>
      <c r="G357" s="28" t="s">
        <v>814</v>
      </c>
      <c r="H357" s="26" t="s">
        <v>776</v>
      </c>
      <c r="I357" s="28" t="s">
        <v>821</v>
      </c>
      <c r="J357" s="26" t="s">
        <v>387</v>
      </c>
      <c r="K357" s="28" t="s">
        <v>694</v>
      </c>
      <c r="L357" s="28"/>
      <c r="M357" s="28"/>
      <c r="N357" s="26"/>
      <c r="O357" s="27" t="str">
        <f t="shared" si="5"/>
        <v/>
      </c>
      <c r="P357" s="26"/>
    </row>
    <row r="358" spans="1:16" ht="15.95" customHeight="1" x14ac:dyDescent="0.25">
      <c r="A358" s="26">
        <v>334</v>
      </c>
      <c r="B358" s="30">
        <v>46288</v>
      </c>
      <c r="C358" s="32" t="s">
        <v>13</v>
      </c>
      <c r="D358" s="26">
        <v>3.5</v>
      </c>
      <c r="E358" s="36">
        <v>44</v>
      </c>
      <c r="F358" s="27">
        <v>0.49091499999999999</v>
      </c>
      <c r="G358" s="28" t="s">
        <v>818</v>
      </c>
      <c r="H358" s="26" t="s">
        <v>819</v>
      </c>
      <c r="I358" s="28" t="s">
        <v>822</v>
      </c>
      <c r="J358" s="26" t="s">
        <v>411</v>
      </c>
      <c r="K358" s="28" t="s">
        <v>694</v>
      </c>
      <c r="L358" s="28"/>
      <c r="M358" s="28" t="s">
        <v>818</v>
      </c>
      <c r="N358" s="26"/>
      <c r="O358" s="27" t="str">
        <f t="shared" si="5"/>
        <v/>
      </c>
      <c r="P358" s="26"/>
    </row>
    <row r="359" spans="1:16" ht="15.95" customHeight="1" x14ac:dyDescent="0.25">
      <c r="A359" s="26">
        <v>335</v>
      </c>
      <c r="B359" s="30">
        <v>46288</v>
      </c>
      <c r="C359" s="32" t="s">
        <v>13</v>
      </c>
      <c r="D359" s="26">
        <v>2</v>
      </c>
      <c r="E359" s="36">
        <v>19</v>
      </c>
      <c r="F359" s="27">
        <v>0.10526000000000001</v>
      </c>
      <c r="G359" s="28" t="s">
        <v>691</v>
      </c>
      <c r="H359" s="26" t="str">
        <f>IFERROR(INDEX(REALDATA!$C$2:$C$1048576,MATCH(G359,REALDATA!$B$2:$B$1048576,0)),"")</f>
        <v>000/ELM</v>
      </c>
      <c r="I359" s="28" t="s">
        <v>693</v>
      </c>
      <c r="J359" s="26" t="s">
        <v>387</v>
      </c>
      <c r="K359" s="28" t="s">
        <v>694</v>
      </c>
      <c r="L359" s="28"/>
      <c r="M359" s="28"/>
      <c r="N359" s="26"/>
      <c r="O359" s="27" t="str">
        <f t="shared" si="5"/>
        <v/>
      </c>
      <c r="P359" s="26"/>
    </row>
    <row r="360" spans="1:16" ht="15.95" customHeight="1" x14ac:dyDescent="0.25">
      <c r="A360" s="26">
        <v>336</v>
      </c>
      <c r="B360" s="30">
        <v>46288</v>
      </c>
      <c r="C360" s="32" t="s">
        <v>13</v>
      </c>
      <c r="D360" s="26">
        <v>3.5</v>
      </c>
      <c r="E360" s="36">
        <v>5</v>
      </c>
      <c r="F360" s="27">
        <v>5.74E-2</v>
      </c>
      <c r="G360" s="28" t="s">
        <v>411</v>
      </c>
      <c r="H360" s="26" t="s">
        <v>415</v>
      </c>
      <c r="I360" s="28" t="s">
        <v>823</v>
      </c>
      <c r="J360" s="26" t="s">
        <v>411</v>
      </c>
      <c r="K360" s="28" t="s">
        <v>694</v>
      </c>
      <c r="L360" s="28"/>
      <c r="M360" s="28"/>
      <c r="N360" s="26"/>
      <c r="O360" s="27" t="str">
        <f t="shared" si="5"/>
        <v/>
      </c>
      <c r="P360" s="26"/>
    </row>
    <row r="361" spans="1:16" x14ac:dyDescent="0.25">
      <c r="A361" s="26">
        <v>337</v>
      </c>
      <c r="B361" s="30">
        <v>46288</v>
      </c>
      <c r="C361" s="32" t="s">
        <v>13</v>
      </c>
      <c r="D361" s="26">
        <v>4.5</v>
      </c>
      <c r="E361" s="36">
        <v>5</v>
      </c>
      <c r="F361" s="27">
        <v>6.4259999999999998E-2</v>
      </c>
      <c r="G361" s="28" t="s">
        <v>411</v>
      </c>
      <c r="H361" s="26" t="s">
        <v>415</v>
      </c>
      <c r="I361" s="28" t="s">
        <v>823</v>
      </c>
      <c r="J361" s="26" t="s">
        <v>411</v>
      </c>
      <c r="K361" s="28" t="s">
        <v>694</v>
      </c>
      <c r="L361" s="28"/>
      <c r="M361" s="28"/>
      <c r="N361" s="26"/>
      <c r="O361" s="27" t="str">
        <f t="shared" si="5"/>
        <v/>
      </c>
      <c r="P361" s="26"/>
    </row>
    <row r="362" spans="1:16" x14ac:dyDescent="0.25">
      <c r="A362" s="26">
        <v>338</v>
      </c>
      <c r="B362" s="30">
        <v>46261</v>
      </c>
      <c r="C362" s="32" t="s">
        <v>15</v>
      </c>
      <c r="D362" s="34"/>
      <c r="E362" s="36"/>
      <c r="F362" s="27">
        <v>1.14056</v>
      </c>
      <c r="G362" s="28" t="s">
        <v>763</v>
      </c>
      <c r="H362" s="26" t="str">
        <f>IFERROR(INDEX(REALDATA!$C$2:$C$1048576,MATCH(G362,REALDATA!$B$2:$B$1048576,0)),"")</f>
        <v>115/PA</v>
      </c>
      <c r="I362" s="28" t="s">
        <v>722</v>
      </c>
      <c r="J362" s="26" t="s">
        <v>387</v>
      </c>
      <c r="K362" s="28" t="s">
        <v>774</v>
      </c>
      <c r="L362" s="28"/>
      <c r="M362" s="28"/>
      <c r="N362" s="26"/>
      <c r="O362" s="27" t="str">
        <f t="shared" si="5"/>
        <v/>
      </c>
      <c r="P362" s="26"/>
    </row>
    <row r="363" spans="1:16" x14ac:dyDescent="0.25">
      <c r="A363" s="26">
        <v>339</v>
      </c>
      <c r="B363" s="30">
        <v>46262</v>
      </c>
      <c r="C363" s="32" t="s">
        <v>15</v>
      </c>
      <c r="D363" s="34"/>
      <c r="E363" s="36"/>
      <c r="F363" s="27">
        <v>0.94838999999999996</v>
      </c>
      <c r="G363" s="28" t="s">
        <v>763</v>
      </c>
      <c r="H363" s="26" t="str">
        <f>IFERROR(INDEX(REALDATA!$C$2:$C$1048576,MATCH(G363,REALDATA!$B$2:$B$1048576,0)),"")</f>
        <v>115/PA</v>
      </c>
      <c r="I363" s="28" t="s">
        <v>722</v>
      </c>
      <c r="J363" s="26" t="s">
        <v>387</v>
      </c>
      <c r="K363" s="28" t="s">
        <v>774</v>
      </c>
      <c r="L363" s="28"/>
      <c r="M363" s="28"/>
      <c r="N363" s="26"/>
      <c r="O363" s="27" t="str">
        <f t="shared" si="5"/>
        <v/>
      </c>
      <c r="P363" s="26"/>
    </row>
    <row r="364" spans="1:16" x14ac:dyDescent="0.25">
      <c r="A364" s="26">
        <v>340</v>
      </c>
      <c r="B364" s="30">
        <v>46263</v>
      </c>
      <c r="C364" s="32" t="s">
        <v>15</v>
      </c>
      <c r="D364" s="34"/>
      <c r="E364" s="36"/>
      <c r="F364" s="27">
        <v>1.2475700000000001</v>
      </c>
      <c r="G364" s="28" t="s">
        <v>763</v>
      </c>
      <c r="H364" s="26" t="str">
        <f>IFERROR(INDEX(REALDATA!$C$2:$C$1048576,MATCH(G364,REALDATA!$B$2:$B$1048576,0)),"")</f>
        <v>115/PA</v>
      </c>
      <c r="I364" s="28" t="s">
        <v>722</v>
      </c>
      <c r="J364" s="26" t="s">
        <v>387</v>
      </c>
      <c r="K364" s="28" t="s">
        <v>774</v>
      </c>
      <c r="L364" s="28"/>
      <c r="M364" s="28"/>
      <c r="N364" s="26"/>
      <c r="O364" s="27" t="str">
        <f t="shared" si="5"/>
        <v/>
      </c>
      <c r="P364" s="26"/>
    </row>
    <row r="365" spans="1:16" x14ac:dyDescent="0.25">
      <c r="A365" s="26">
        <v>341</v>
      </c>
      <c r="B365" s="30">
        <v>46265</v>
      </c>
      <c r="C365" s="32" t="s">
        <v>15</v>
      </c>
      <c r="D365" s="34"/>
      <c r="E365" s="36"/>
      <c r="F365" s="27">
        <v>0.60763999999999996</v>
      </c>
      <c r="G365" s="28" t="s">
        <v>763</v>
      </c>
      <c r="H365" s="26" t="str">
        <f>IFERROR(INDEX(REALDATA!$C$2:$C$1048576,MATCH(G365,REALDATA!$B$2:$B$1048576,0)),"")</f>
        <v>115/PA</v>
      </c>
      <c r="I365" s="28" t="s">
        <v>722</v>
      </c>
      <c r="J365" s="26" t="s">
        <v>387</v>
      </c>
      <c r="K365" s="28" t="s">
        <v>774</v>
      </c>
      <c r="L365" s="28"/>
      <c r="M365" s="28"/>
      <c r="N365" s="26"/>
      <c r="O365" s="27" t="str">
        <f t="shared" si="5"/>
        <v/>
      </c>
      <c r="P365" s="26"/>
    </row>
    <row r="366" spans="1:16" x14ac:dyDescent="0.25">
      <c r="A366" s="26">
        <v>342</v>
      </c>
      <c r="B366" s="30">
        <v>46266</v>
      </c>
      <c r="C366" s="32" t="s">
        <v>15</v>
      </c>
      <c r="D366" s="26">
        <v>6</v>
      </c>
      <c r="E366" s="36">
        <v>12</v>
      </c>
      <c r="F366" s="27">
        <v>0.53568000000000005</v>
      </c>
      <c r="G366" s="28" t="s">
        <v>763</v>
      </c>
      <c r="H366" s="26" t="str">
        <f>IFERROR(INDEX(REALDATA!$C$2:$C$1048576,MATCH(G366,REALDATA!$B$2:$B$1048576,0)),"")</f>
        <v>115/PA</v>
      </c>
      <c r="I366" s="28" t="s">
        <v>722</v>
      </c>
      <c r="J366" s="26" t="s">
        <v>387</v>
      </c>
      <c r="K366" s="28" t="s">
        <v>774</v>
      </c>
      <c r="L366" s="28"/>
      <c r="M366" s="28"/>
      <c r="N366" s="26"/>
      <c r="O366" s="27" t="str">
        <f t="shared" si="5"/>
        <v/>
      </c>
      <c r="P366" s="26"/>
    </row>
    <row r="367" spans="1:16" x14ac:dyDescent="0.25">
      <c r="A367" s="26">
        <v>343</v>
      </c>
      <c r="B367" s="30">
        <v>46268</v>
      </c>
      <c r="C367" s="32" t="s">
        <v>15</v>
      </c>
      <c r="D367" s="26">
        <v>4.5</v>
      </c>
      <c r="E367" s="36">
        <v>13</v>
      </c>
      <c r="F367" s="27">
        <v>0.23182</v>
      </c>
      <c r="G367" s="28" t="s">
        <v>763</v>
      </c>
      <c r="H367" s="26" t="str">
        <f>IFERROR(INDEX(REALDATA!$C$2:$C$1048576,MATCH(G367,REALDATA!$B$2:$B$1048576,0)),"")</f>
        <v>115/PA</v>
      </c>
      <c r="I367" s="28" t="s">
        <v>722</v>
      </c>
      <c r="J367" s="26" t="s">
        <v>387</v>
      </c>
      <c r="K367" s="28" t="s">
        <v>774</v>
      </c>
      <c r="L367" s="28"/>
      <c r="M367" s="28"/>
      <c r="N367" s="26"/>
      <c r="O367" s="27" t="str">
        <f t="shared" si="5"/>
        <v/>
      </c>
      <c r="P367" s="26"/>
    </row>
    <row r="368" spans="1:16" x14ac:dyDescent="0.25">
      <c r="A368" s="26">
        <v>344</v>
      </c>
      <c r="B368" s="30">
        <v>46275</v>
      </c>
      <c r="C368" s="32" t="s">
        <v>15</v>
      </c>
      <c r="D368" s="26">
        <v>5.5</v>
      </c>
      <c r="E368" s="36">
        <v>4</v>
      </c>
      <c r="F368" s="27">
        <v>3.7949999999999998E-2</v>
      </c>
      <c r="G368" s="28" t="s">
        <v>763</v>
      </c>
      <c r="H368" s="26" t="str">
        <f>IFERROR(INDEX(REALDATA!$C$2:$C$1048576,MATCH(G368,REALDATA!$B$2:$B$1048576,0)),"")</f>
        <v>115/PA</v>
      </c>
      <c r="I368" s="28" t="s">
        <v>824</v>
      </c>
      <c r="J368" s="26" t="s">
        <v>387</v>
      </c>
      <c r="K368" s="28" t="s">
        <v>774</v>
      </c>
      <c r="L368" s="28"/>
      <c r="M368" s="28"/>
      <c r="N368" s="26"/>
      <c r="O368" s="27" t="str">
        <f t="shared" si="5"/>
        <v/>
      </c>
      <c r="P368" s="26"/>
    </row>
    <row r="369" spans="1:16" x14ac:dyDescent="0.25">
      <c r="A369" s="26">
        <v>345</v>
      </c>
      <c r="B369" s="30">
        <v>46279</v>
      </c>
      <c r="C369" s="32" t="s">
        <v>15</v>
      </c>
      <c r="D369" s="26">
        <v>5</v>
      </c>
      <c r="E369" s="36">
        <v>19</v>
      </c>
      <c r="F369" s="27">
        <v>0.36895</v>
      </c>
      <c r="G369" s="28" t="s">
        <v>825</v>
      </c>
      <c r="H369" s="26" t="s">
        <v>826</v>
      </c>
      <c r="I369" s="28" t="s">
        <v>722</v>
      </c>
      <c r="J369" s="26" t="s">
        <v>387</v>
      </c>
      <c r="K369" s="28" t="s">
        <v>774</v>
      </c>
      <c r="L369" s="28"/>
      <c r="M369" s="28"/>
      <c r="N369" s="26"/>
      <c r="O369" s="27" t="str">
        <f t="shared" si="5"/>
        <v/>
      </c>
      <c r="P369" s="26"/>
    </row>
    <row r="370" spans="1:16" x14ac:dyDescent="0.25">
      <c r="A370" s="26">
        <v>346</v>
      </c>
      <c r="B370" s="30">
        <v>46280</v>
      </c>
      <c r="C370" s="32" t="s">
        <v>15</v>
      </c>
      <c r="D370" s="26">
        <v>8</v>
      </c>
      <c r="E370" s="36">
        <v>14</v>
      </c>
      <c r="F370" s="27">
        <v>0.37791999999999998</v>
      </c>
      <c r="G370" s="28" t="s">
        <v>775</v>
      </c>
      <c r="H370" s="26" t="s">
        <v>776</v>
      </c>
      <c r="I370" s="28" t="s">
        <v>722</v>
      </c>
      <c r="J370" s="26" t="s">
        <v>387</v>
      </c>
      <c r="K370" s="28" t="s">
        <v>774</v>
      </c>
      <c r="L370" s="28"/>
      <c r="M370" s="28"/>
      <c r="N370" s="26"/>
      <c r="O370" s="27" t="str">
        <f t="shared" si="5"/>
        <v/>
      </c>
      <c r="P370" s="26"/>
    </row>
    <row r="371" spans="1:16" x14ac:dyDescent="0.25">
      <c r="A371" s="26">
        <v>347</v>
      </c>
      <c r="B371" s="30">
        <v>46281</v>
      </c>
      <c r="C371" s="32" t="s">
        <v>15</v>
      </c>
      <c r="D371" s="26">
        <v>4.5</v>
      </c>
      <c r="E371" s="36">
        <v>9</v>
      </c>
      <c r="F371" s="27">
        <v>0.13720499999999999</v>
      </c>
      <c r="G371" s="28" t="s">
        <v>775</v>
      </c>
      <c r="H371" s="26" t="s">
        <v>776</v>
      </c>
      <c r="I371" s="28" t="s">
        <v>722</v>
      </c>
      <c r="J371" s="26" t="s">
        <v>387</v>
      </c>
      <c r="K371" s="28" t="s">
        <v>774</v>
      </c>
      <c r="L371" s="28"/>
      <c r="M371" s="63"/>
      <c r="N371" s="26"/>
      <c r="O371" s="27" t="str">
        <f t="shared" si="5"/>
        <v/>
      </c>
      <c r="P371" s="26"/>
    </row>
    <row r="372" spans="1:16" x14ac:dyDescent="0.25">
      <c r="A372" s="169">
        <v>383</v>
      </c>
      <c r="B372" s="170">
        <v>46305</v>
      </c>
      <c r="C372" s="171" t="s">
        <v>13</v>
      </c>
      <c r="D372" s="169">
        <v>4.5</v>
      </c>
      <c r="E372" s="173">
        <v>4</v>
      </c>
      <c r="F372" s="174">
        <v>6.6600000000000006E-2</v>
      </c>
      <c r="G372" s="63" t="s">
        <v>784</v>
      </c>
      <c r="H372" s="169" t="str">
        <f>IFERROR(INDEX(REALDATA!$C$2:$C$1048576,MATCH(G372,REALDATA!$B$2:$B$1048576,0)),"")</f>
        <v>125/FJ</v>
      </c>
      <c r="I372" s="63" t="s">
        <v>787</v>
      </c>
      <c r="J372" s="169" t="s">
        <v>387</v>
      </c>
      <c r="K372" s="63" t="s">
        <v>827</v>
      </c>
      <c r="L372" s="63"/>
      <c r="M372" s="63"/>
      <c r="N372" s="169"/>
      <c r="O372" s="174" t="str">
        <f t="shared" si="5"/>
        <v/>
      </c>
      <c r="P372" s="169"/>
    </row>
    <row r="373" spans="1:16" x14ac:dyDescent="0.25">
      <c r="A373" s="26">
        <v>349</v>
      </c>
      <c r="B373" s="30">
        <v>46309</v>
      </c>
      <c r="C373" s="32" t="s">
        <v>13</v>
      </c>
      <c r="D373" s="26">
        <v>7</v>
      </c>
      <c r="E373" s="36">
        <v>12</v>
      </c>
      <c r="F373" s="27">
        <v>0.50092000000000003</v>
      </c>
      <c r="G373" s="28" t="s">
        <v>784</v>
      </c>
      <c r="H373" s="26" t="str">
        <f>IFERROR(INDEX(REALDATA!$C$2:$C$1048576,MATCH(G373,REALDATA!$B$2:$B$1048576,0)),"")</f>
        <v>125/FJ</v>
      </c>
      <c r="I373" s="28" t="s">
        <v>828</v>
      </c>
      <c r="J373" s="26" t="s">
        <v>387</v>
      </c>
      <c r="K373" s="28" t="s">
        <v>829</v>
      </c>
      <c r="L373" s="28"/>
      <c r="M373" s="28"/>
      <c r="N373" s="26"/>
      <c r="O373" s="27" t="str">
        <f t="shared" si="5"/>
        <v/>
      </c>
      <c r="P373" s="26"/>
    </row>
    <row r="374" spans="1:16" x14ac:dyDescent="0.25">
      <c r="A374" s="169">
        <v>350</v>
      </c>
      <c r="B374" s="170">
        <v>46308</v>
      </c>
      <c r="C374" s="171" t="s">
        <v>17</v>
      </c>
      <c r="D374" s="169">
        <v>3.5</v>
      </c>
      <c r="E374" s="173">
        <v>18</v>
      </c>
      <c r="F374" s="174">
        <v>0.14899499999999999</v>
      </c>
      <c r="G374" s="63" t="s">
        <v>781</v>
      </c>
      <c r="H374" s="169" t="str">
        <f>IFERROR(INDEX(REALDATA!$C$2:$C$1048576,MATCH(G374,REALDATA!$B$2:$B$1048576,0)),"")</f>
        <v>093/RD</v>
      </c>
      <c r="I374" s="63" t="s">
        <v>782</v>
      </c>
      <c r="J374" s="169" t="s">
        <v>387</v>
      </c>
      <c r="K374" s="63" t="s">
        <v>830</v>
      </c>
      <c r="L374" s="63"/>
      <c r="M374" s="63"/>
      <c r="N374" s="169"/>
      <c r="O374" s="174" t="str">
        <f t="shared" si="5"/>
        <v/>
      </c>
      <c r="P374" s="169"/>
    </row>
    <row r="375" spans="1:16" x14ac:dyDescent="0.25">
      <c r="A375" s="169">
        <v>384</v>
      </c>
      <c r="B375" s="170">
        <v>46307</v>
      </c>
      <c r="C375" s="171" t="s">
        <v>13</v>
      </c>
      <c r="D375" s="169">
        <v>4.5</v>
      </c>
      <c r="E375" s="173">
        <v>10</v>
      </c>
      <c r="F375" s="174">
        <v>0.1449</v>
      </c>
      <c r="G375" s="63" t="s">
        <v>784</v>
      </c>
      <c r="H375" s="169" t="str">
        <f>IFERROR(INDEX(REALDATA!$C$2:$C$1048576,MATCH(G375,REALDATA!$B$2:$B$1048576,0)),"")</f>
        <v>125/FJ</v>
      </c>
      <c r="I375" s="63" t="s">
        <v>787</v>
      </c>
      <c r="J375" s="169" t="s">
        <v>387</v>
      </c>
      <c r="K375" s="63" t="s">
        <v>831</v>
      </c>
      <c r="L375" s="63"/>
      <c r="M375" s="63"/>
      <c r="N375" s="169"/>
      <c r="O375" s="174" t="str">
        <f t="shared" si="5"/>
        <v/>
      </c>
      <c r="P375" s="169"/>
    </row>
    <row r="376" spans="1:16" x14ac:dyDescent="0.25">
      <c r="A376" s="169">
        <v>385</v>
      </c>
      <c r="B376" s="170">
        <v>46307</v>
      </c>
      <c r="C376" s="171" t="s">
        <v>13</v>
      </c>
      <c r="D376" s="169">
        <v>7</v>
      </c>
      <c r="E376" s="173">
        <v>5</v>
      </c>
      <c r="F376" s="174">
        <v>0.20544999999999999</v>
      </c>
      <c r="G376" s="63" t="s">
        <v>784</v>
      </c>
      <c r="H376" s="169" t="str">
        <f>IFERROR(INDEX(REALDATA!$C$2:$C$1048576,MATCH(G376,REALDATA!$B$2:$B$1048576,0)),"")</f>
        <v>125/FJ</v>
      </c>
      <c r="I376" s="63" t="s">
        <v>787</v>
      </c>
      <c r="J376" s="169" t="s">
        <v>387</v>
      </c>
      <c r="K376" s="63" t="s">
        <v>831</v>
      </c>
      <c r="L376" s="63"/>
      <c r="M376" s="63"/>
      <c r="N376" s="169"/>
      <c r="O376" s="174" t="str">
        <f t="shared" si="5"/>
        <v/>
      </c>
      <c r="P376" s="169"/>
    </row>
    <row r="377" spans="1:16" x14ac:dyDescent="0.25">
      <c r="A377" s="169">
        <v>386</v>
      </c>
      <c r="B377" s="170">
        <v>46307</v>
      </c>
      <c r="C377" s="171" t="s">
        <v>13</v>
      </c>
      <c r="D377" s="169">
        <v>3.5</v>
      </c>
      <c r="E377" s="173">
        <v>33</v>
      </c>
      <c r="F377" s="174">
        <v>0.36778</v>
      </c>
      <c r="G377" s="63" t="s">
        <v>784</v>
      </c>
      <c r="H377" s="169" t="str">
        <f>IFERROR(INDEX(REALDATA!$C$2:$C$1048576,MATCH(G377,REALDATA!$B$2:$B$1048576,0)),"")</f>
        <v>125/FJ</v>
      </c>
      <c r="I377" s="63" t="s">
        <v>460</v>
      </c>
      <c r="J377" s="169" t="s">
        <v>387</v>
      </c>
      <c r="K377" s="63" t="s">
        <v>831</v>
      </c>
      <c r="L377" s="63"/>
      <c r="M377" s="63"/>
      <c r="N377" s="169"/>
      <c r="O377" s="174" t="str">
        <f t="shared" si="5"/>
        <v/>
      </c>
      <c r="P377" s="169"/>
    </row>
    <row r="378" spans="1:16" x14ac:dyDescent="0.25">
      <c r="A378" s="169">
        <v>430</v>
      </c>
      <c r="B378" s="170">
        <v>46314</v>
      </c>
      <c r="C378" s="171" t="s">
        <v>15</v>
      </c>
      <c r="D378" s="169">
        <v>3</v>
      </c>
      <c r="E378" s="173">
        <v>4</v>
      </c>
      <c r="F378" s="174">
        <v>3.5069999999999997E-2</v>
      </c>
      <c r="G378" s="63" t="s">
        <v>411</v>
      </c>
      <c r="H378" s="169" t="s">
        <v>415</v>
      </c>
      <c r="I378" s="63" t="s">
        <v>832</v>
      </c>
      <c r="J378" s="169" t="s">
        <v>411</v>
      </c>
      <c r="K378" s="63" t="s">
        <v>833</v>
      </c>
      <c r="L378" s="63"/>
      <c r="M378" s="63"/>
      <c r="N378" s="169"/>
      <c r="O378" s="174" t="str">
        <f t="shared" si="5"/>
        <v/>
      </c>
      <c r="P378" s="169"/>
    </row>
    <row r="379" spans="1:16" x14ac:dyDescent="0.25">
      <c r="A379" s="169">
        <v>370</v>
      </c>
      <c r="B379" s="170">
        <v>46302</v>
      </c>
      <c r="C379" s="171" t="s">
        <v>13</v>
      </c>
      <c r="D379" s="269">
        <v>5</v>
      </c>
      <c r="E379" s="173">
        <v>41</v>
      </c>
      <c r="F379" s="174">
        <v>1.0708</v>
      </c>
      <c r="G379" s="63" t="s">
        <v>784</v>
      </c>
      <c r="H379" s="169" t="str">
        <f>IFERROR(INDEX(REALDATA!$C$2:$C$5008,MATCH(G379,REALDATA!$B$2:$B$5008,0)),"")</f>
        <v>125/FJ</v>
      </c>
      <c r="I379" s="63" t="s">
        <v>834</v>
      </c>
      <c r="J379" s="169" t="s">
        <v>387</v>
      </c>
      <c r="K379" s="63" t="s">
        <v>694</v>
      </c>
      <c r="L379" s="63"/>
      <c r="M379" s="63"/>
      <c r="N379" s="169"/>
      <c r="O379" s="174" t="str">
        <f t="shared" si="5"/>
        <v/>
      </c>
      <c r="P379" s="169"/>
    </row>
    <row r="380" spans="1:16" x14ac:dyDescent="0.25">
      <c r="A380" s="169">
        <v>371</v>
      </c>
      <c r="B380" s="170">
        <v>46302</v>
      </c>
      <c r="C380" s="171" t="s">
        <v>13</v>
      </c>
      <c r="D380" s="203"/>
      <c r="E380" s="173"/>
      <c r="F380" s="174">
        <v>-1.0708</v>
      </c>
      <c r="G380" s="63"/>
      <c r="H380" s="169"/>
      <c r="I380" s="63" t="s">
        <v>798</v>
      </c>
      <c r="J380" s="169" t="s">
        <v>387</v>
      </c>
      <c r="K380" s="63" t="s">
        <v>694</v>
      </c>
      <c r="L380" s="63" t="s">
        <v>792</v>
      </c>
      <c r="M380" s="63"/>
      <c r="N380" s="169"/>
      <c r="O380" s="174" t="str">
        <f t="shared" si="5"/>
        <v/>
      </c>
      <c r="P380" s="169" t="s">
        <v>799</v>
      </c>
    </row>
    <row r="381" spans="1:16" x14ac:dyDescent="0.25">
      <c r="A381" s="169">
        <v>387</v>
      </c>
      <c r="B381" s="170">
        <v>46307</v>
      </c>
      <c r="C381" s="171" t="s">
        <v>13</v>
      </c>
      <c r="D381" s="169">
        <v>3.5</v>
      </c>
      <c r="E381" s="173">
        <v>36</v>
      </c>
      <c r="F381" s="174">
        <v>0.38513999999999998</v>
      </c>
      <c r="G381" s="63" t="s">
        <v>784</v>
      </c>
      <c r="H381" s="169" t="str">
        <f>IFERROR(INDEX(REALDATA!$C$2:$C$1048576,MATCH(G381,REALDATA!$B$2:$B$1048576,0)),"")</f>
        <v>125/FJ</v>
      </c>
      <c r="I381" s="63" t="s">
        <v>835</v>
      </c>
      <c r="J381" s="169" t="s">
        <v>387</v>
      </c>
      <c r="K381" s="63" t="s">
        <v>831</v>
      </c>
      <c r="L381" s="63"/>
      <c r="M381" s="63"/>
      <c r="N381" s="169"/>
      <c r="O381" s="174" t="str">
        <f t="shared" si="5"/>
        <v/>
      </c>
      <c r="P381" s="169"/>
    </row>
    <row r="382" spans="1:16" x14ac:dyDescent="0.25">
      <c r="A382" s="169">
        <v>388</v>
      </c>
      <c r="B382" s="170">
        <v>46307</v>
      </c>
      <c r="C382" s="171" t="s">
        <v>13</v>
      </c>
      <c r="D382" s="169">
        <v>4.5</v>
      </c>
      <c r="E382" s="173">
        <v>8</v>
      </c>
      <c r="F382" s="174">
        <v>0.11902500000000001</v>
      </c>
      <c r="G382" s="63" t="s">
        <v>784</v>
      </c>
      <c r="H382" s="169" t="str">
        <f>IFERROR(INDEX(REALDATA!$C$2:$C$1048576,MATCH(G382,REALDATA!$B$2:$B$1048576,0)),"")</f>
        <v>125/FJ</v>
      </c>
      <c r="I382" s="63" t="s">
        <v>460</v>
      </c>
      <c r="J382" s="169" t="s">
        <v>387</v>
      </c>
      <c r="K382" s="63" t="s">
        <v>831</v>
      </c>
      <c r="L382" s="63"/>
      <c r="M382" s="63"/>
      <c r="N382" s="169"/>
      <c r="O382" s="174" t="str">
        <f t="shared" si="5"/>
        <v/>
      </c>
      <c r="P382" s="169"/>
    </row>
    <row r="383" spans="1:16" x14ac:dyDescent="0.25">
      <c r="A383" s="169">
        <v>357</v>
      </c>
      <c r="B383" s="170">
        <v>46309</v>
      </c>
      <c r="C383" s="171" t="s">
        <v>17</v>
      </c>
      <c r="D383" s="169">
        <v>2.5</v>
      </c>
      <c r="E383" s="173">
        <v>4</v>
      </c>
      <c r="F383" s="174">
        <v>1.4274999999999999E-2</v>
      </c>
      <c r="G383" s="63" t="s">
        <v>781</v>
      </c>
      <c r="H383" s="169" t="str">
        <f>IFERROR(INDEX(REALDATA!$C$2:$C$1048576,MATCH(G383,REALDATA!$B$2:$B$1048576,0)),"")</f>
        <v>093/RD</v>
      </c>
      <c r="I383" s="63" t="s">
        <v>782</v>
      </c>
      <c r="J383" s="169" t="s">
        <v>387</v>
      </c>
      <c r="K383" s="63" t="s">
        <v>836</v>
      </c>
      <c r="L383" s="63"/>
      <c r="M383" s="63"/>
      <c r="N383" s="169"/>
      <c r="O383" s="174" t="str">
        <f t="shared" si="5"/>
        <v/>
      </c>
      <c r="P383" s="169"/>
    </row>
    <row r="384" spans="1:16" x14ac:dyDescent="0.25">
      <c r="A384" s="26">
        <v>372</v>
      </c>
      <c r="B384" s="30">
        <v>46266</v>
      </c>
      <c r="C384" s="32" t="s">
        <v>13</v>
      </c>
      <c r="D384" s="34">
        <v>8</v>
      </c>
      <c r="E384" s="36">
        <v>12</v>
      </c>
      <c r="F384" s="27">
        <v>0.53568000000000005</v>
      </c>
      <c r="G384" s="28" t="s">
        <v>763</v>
      </c>
      <c r="H384" s="26" t="s">
        <v>837</v>
      </c>
      <c r="I384" s="28" t="s">
        <v>805</v>
      </c>
      <c r="J384" s="26" t="s">
        <v>387</v>
      </c>
      <c r="K384" s="28" t="s">
        <v>694</v>
      </c>
      <c r="L384" s="28"/>
      <c r="M384" s="28"/>
      <c r="N384" s="169"/>
      <c r="O384" s="174" t="str">
        <f t="shared" ref="O384:O394" si="6">IF(AND(L384="Adjustment",N384="",P384&lt;&gt;"Explained"),F384+SUMIFS($F$14:$F$5073,$N$14:$N$5073,A384,$L$14:$L$5073,"Adjustment"),"")</f>
        <v/>
      </c>
      <c r="P384" s="169"/>
    </row>
    <row r="385" spans="1:16" x14ac:dyDescent="0.25">
      <c r="A385" s="26">
        <v>373</v>
      </c>
      <c r="B385" s="30">
        <v>46266</v>
      </c>
      <c r="C385" s="32" t="s">
        <v>15</v>
      </c>
      <c r="D385" s="34">
        <v>8</v>
      </c>
      <c r="E385" s="36">
        <v>12</v>
      </c>
      <c r="F385" s="27">
        <v>0.53568000000000005</v>
      </c>
      <c r="G385" s="28" t="s">
        <v>763</v>
      </c>
      <c r="H385" s="26" t="s">
        <v>837</v>
      </c>
      <c r="I385" s="28" t="s">
        <v>722</v>
      </c>
      <c r="J385" s="26" t="s">
        <v>387</v>
      </c>
      <c r="K385" s="28" t="s">
        <v>774</v>
      </c>
      <c r="L385" s="28"/>
      <c r="M385" s="28"/>
      <c r="N385" s="263"/>
      <c r="O385" s="264" t="str">
        <f t="shared" si="6"/>
        <v/>
      </c>
      <c r="P385" s="263"/>
    </row>
    <row r="386" spans="1:16" x14ac:dyDescent="0.25">
      <c r="A386" s="26">
        <v>374</v>
      </c>
      <c r="B386" s="30">
        <v>46272</v>
      </c>
      <c r="C386" s="32" t="s">
        <v>13</v>
      </c>
      <c r="D386" s="34">
        <v>8</v>
      </c>
      <c r="E386" s="36">
        <v>32</v>
      </c>
      <c r="F386" s="27">
        <v>1.0631999999999999</v>
      </c>
      <c r="G386" s="28" t="s">
        <v>808</v>
      </c>
      <c r="H386" s="26" t="s">
        <v>692</v>
      </c>
      <c r="I386" s="28" t="s">
        <v>789</v>
      </c>
      <c r="J386" s="26" t="s">
        <v>387</v>
      </c>
      <c r="K386" s="28" t="s">
        <v>694</v>
      </c>
      <c r="L386" s="28"/>
      <c r="M386" s="28"/>
      <c r="N386" s="263"/>
      <c r="O386" s="264" t="str">
        <f t="shared" si="6"/>
        <v/>
      </c>
      <c r="P386" s="263"/>
    </row>
    <row r="387" spans="1:16" x14ac:dyDescent="0.25">
      <c r="A387" s="26">
        <v>375</v>
      </c>
      <c r="B387" s="30">
        <v>46272</v>
      </c>
      <c r="C387" s="32" t="s">
        <v>13</v>
      </c>
      <c r="D387" s="34">
        <v>7</v>
      </c>
      <c r="E387" s="36">
        <v>6</v>
      </c>
      <c r="F387" s="27">
        <v>0.14574000000000001</v>
      </c>
      <c r="G387" s="28" t="s">
        <v>808</v>
      </c>
      <c r="H387" s="26" t="s">
        <v>692</v>
      </c>
      <c r="I387" s="28" t="s">
        <v>789</v>
      </c>
      <c r="J387" s="26" t="s">
        <v>387</v>
      </c>
      <c r="K387" s="28" t="s">
        <v>694</v>
      </c>
      <c r="L387" s="28"/>
      <c r="M387" s="28"/>
      <c r="N387" s="263"/>
      <c r="O387" s="264" t="str">
        <f t="shared" si="6"/>
        <v/>
      </c>
      <c r="P387" s="263"/>
    </row>
    <row r="388" spans="1:16" x14ac:dyDescent="0.25">
      <c r="A388" s="26">
        <v>376</v>
      </c>
      <c r="B388" s="30">
        <v>46279</v>
      </c>
      <c r="C388" s="32" t="s">
        <v>15</v>
      </c>
      <c r="D388" s="34">
        <v>8</v>
      </c>
      <c r="E388" s="36">
        <v>17</v>
      </c>
      <c r="F388" s="27">
        <v>0.55896000000000001</v>
      </c>
      <c r="G388" s="28" t="s">
        <v>825</v>
      </c>
      <c r="H388" s="26" t="s">
        <v>826</v>
      </c>
      <c r="I388" s="28" t="s">
        <v>722</v>
      </c>
      <c r="J388" s="26" t="s">
        <v>387</v>
      </c>
      <c r="K388" s="28" t="s">
        <v>774</v>
      </c>
      <c r="L388" s="28"/>
      <c r="M388" s="28"/>
      <c r="N388" s="263"/>
      <c r="O388" s="264" t="str">
        <f t="shared" si="6"/>
        <v/>
      </c>
      <c r="P388" s="263"/>
    </row>
    <row r="389" spans="1:16" x14ac:dyDescent="0.25">
      <c r="A389" s="26">
        <v>377</v>
      </c>
      <c r="B389" s="30">
        <v>46279</v>
      </c>
      <c r="C389" s="32" t="s">
        <v>15</v>
      </c>
      <c r="D389" s="34">
        <v>4.5</v>
      </c>
      <c r="E389" s="36">
        <v>2</v>
      </c>
      <c r="F389" s="27">
        <v>5.357E-2</v>
      </c>
      <c r="G389" s="28" t="s">
        <v>825</v>
      </c>
      <c r="H389" s="26" t="s">
        <v>826</v>
      </c>
      <c r="I389" s="28" t="s">
        <v>722</v>
      </c>
      <c r="J389" s="26" t="s">
        <v>387</v>
      </c>
      <c r="K389" s="28" t="s">
        <v>774</v>
      </c>
      <c r="L389" s="28"/>
      <c r="M389" s="28"/>
      <c r="N389" s="263"/>
      <c r="O389" s="264" t="str">
        <f t="shared" si="6"/>
        <v/>
      </c>
      <c r="P389" s="263"/>
    </row>
    <row r="390" spans="1:16" x14ac:dyDescent="0.25">
      <c r="A390" s="26">
        <v>378</v>
      </c>
      <c r="B390" s="30">
        <v>46279</v>
      </c>
      <c r="C390" s="32" t="s">
        <v>15</v>
      </c>
      <c r="D390" s="34">
        <v>5.5</v>
      </c>
      <c r="E390" s="36">
        <v>2</v>
      </c>
      <c r="F390" s="27">
        <v>2.7900000000000001E-2</v>
      </c>
      <c r="G390" s="28" t="s">
        <v>825</v>
      </c>
      <c r="H390" s="26" t="s">
        <v>826</v>
      </c>
      <c r="I390" s="28" t="s">
        <v>722</v>
      </c>
      <c r="J390" s="26" t="s">
        <v>387</v>
      </c>
      <c r="K390" s="28" t="s">
        <v>774</v>
      </c>
      <c r="L390" s="28"/>
      <c r="M390" s="28"/>
      <c r="N390" s="263"/>
      <c r="O390" s="264" t="str">
        <f t="shared" si="6"/>
        <v/>
      </c>
      <c r="P390" s="263"/>
    </row>
    <row r="391" spans="1:16" x14ac:dyDescent="0.25">
      <c r="A391" s="26">
        <v>379</v>
      </c>
      <c r="B391" s="30">
        <v>46281</v>
      </c>
      <c r="C391" s="32" t="s">
        <v>15</v>
      </c>
      <c r="D391" s="34">
        <v>5</v>
      </c>
      <c r="E391" s="36">
        <v>9</v>
      </c>
      <c r="F391" s="27">
        <v>0.16089999999999999</v>
      </c>
      <c r="G391" s="28" t="s">
        <v>775</v>
      </c>
      <c r="H391" s="26" t="s">
        <v>776</v>
      </c>
      <c r="I391" s="28" t="s">
        <v>722</v>
      </c>
      <c r="J391" s="26" t="s">
        <v>387</v>
      </c>
      <c r="K391" s="28" t="s">
        <v>774</v>
      </c>
      <c r="L391" s="28"/>
      <c r="M391" s="28"/>
      <c r="N391" s="263"/>
      <c r="O391" s="264" t="str">
        <f t="shared" si="6"/>
        <v/>
      </c>
      <c r="P391" s="263"/>
    </row>
    <row r="392" spans="1:16" x14ac:dyDescent="0.25">
      <c r="A392" s="26">
        <v>380</v>
      </c>
      <c r="B392" s="30">
        <v>46281</v>
      </c>
      <c r="C392" s="32" t="s">
        <v>15</v>
      </c>
      <c r="D392" s="34">
        <v>5.5</v>
      </c>
      <c r="E392" s="36">
        <v>7</v>
      </c>
      <c r="F392" s="27">
        <v>0.136015</v>
      </c>
      <c r="G392" s="28" t="s">
        <v>775</v>
      </c>
      <c r="H392" s="26" t="s">
        <v>776</v>
      </c>
      <c r="I392" s="28" t="s">
        <v>722</v>
      </c>
      <c r="J392" s="26" t="s">
        <v>387</v>
      </c>
      <c r="K392" s="28" t="s">
        <v>774</v>
      </c>
      <c r="L392" s="28"/>
      <c r="M392" s="28"/>
      <c r="N392" s="263"/>
      <c r="O392" s="264" t="str">
        <f t="shared" si="6"/>
        <v/>
      </c>
      <c r="P392" s="263"/>
    </row>
    <row r="393" spans="1:16" x14ac:dyDescent="0.25">
      <c r="A393" s="26">
        <v>381</v>
      </c>
      <c r="B393" s="30">
        <v>46286</v>
      </c>
      <c r="C393" s="32" t="s">
        <v>13</v>
      </c>
      <c r="D393" s="34">
        <v>3.5</v>
      </c>
      <c r="E393" s="36">
        <v>12</v>
      </c>
      <c r="F393" s="27">
        <v>0.129825</v>
      </c>
      <c r="G393" s="28" t="s">
        <v>814</v>
      </c>
      <c r="H393" s="26" t="s">
        <v>776</v>
      </c>
      <c r="I393" s="28" t="s">
        <v>821</v>
      </c>
      <c r="J393" s="26" t="s">
        <v>387</v>
      </c>
      <c r="K393" s="28" t="s">
        <v>694</v>
      </c>
      <c r="L393" s="28"/>
      <c r="M393" s="28"/>
      <c r="N393" s="263"/>
      <c r="O393" s="264" t="str">
        <f t="shared" si="6"/>
        <v/>
      </c>
      <c r="P393" s="263"/>
    </row>
    <row r="394" spans="1:16" x14ac:dyDescent="0.25">
      <c r="A394" s="169">
        <v>382</v>
      </c>
      <c r="B394" s="170">
        <v>46289</v>
      </c>
      <c r="C394" s="171" t="s">
        <v>13</v>
      </c>
      <c r="D394" s="172">
        <v>4.5</v>
      </c>
      <c r="E394" s="173">
        <v>27</v>
      </c>
      <c r="F394" s="174">
        <v>0.38745000000000002</v>
      </c>
      <c r="G394" s="63" t="s">
        <v>838</v>
      </c>
      <c r="H394" s="169" t="s">
        <v>819</v>
      </c>
      <c r="I394" s="63" t="s">
        <v>822</v>
      </c>
      <c r="J394" s="169" t="s">
        <v>387</v>
      </c>
      <c r="K394" s="63" t="s">
        <v>694</v>
      </c>
      <c r="L394" s="63"/>
      <c r="M394" s="63"/>
      <c r="N394" s="263"/>
      <c r="O394" s="264" t="str">
        <f t="shared" si="6"/>
        <v/>
      </c>
      <c r="P394" s="263"/>
    </row>
    <row r="395" spans="1:16" x14ac:dyDescent="0.25">
      <c r="A395" s="169">
        <v>389</v>
      </c>
      <c r="B395" s="170">
        <v>46307</v>
      </c>
      <c r="C395" s="171" t="s">
        <v>13</v>
      </c>
      <c r="D395" s="169">
        <v>4.5</v>
      </c>
      <c r="E395" s="173">
        <v>22</v>
      </c>
      <c r="F395" s="174">
        <v>0.33340500000000001</v>
      </c>
      <c r="G395" s="63" t="s">
        <v>784</v>
      </c>
      <c r="H395" s="169" t="str">
        <f>IFERROR(INDEX(REALDATA!$C$2:$C$1048576,MATCH(G395,REALDATA!$B$2:$B$1048576,0)),"")</f>
        <v>125/FJ</v>
      </c>
      <c r="I395" s="63" t="s">
        <v>835</v>
      </c>
      <c r="J395" s="169" t="s">
        <v>387</v>
      </c>
      <c r="K395" s="63" t="s">
        <v>831</v>
      </c>
      <c r="L395" s="63"/>
      <c r="M395" s="63"/>
      <c r="N395" s="169"/>
      <c r="O395" s="174" t="str">
        <f t="shared" ref="O395:O442" si="7">IF(AND(L395="Adjustment",N395="",P395&lt;&gt;"Explained"),F395+SUMIFS($F$14:$F$5084,$N$14:$N$5084,A395,$L$14:$L$5084,"Adjustment"),"")</f>
        <v/>
      </c>
      <c r="P395" s="169"/>
    </row>
    <row r="396" spans="1:16" x14ac:dyDescent="0.25">
      <c r="A396" s="169">
        <v>390</v>
      </c>
      <c r="B396" s="170">
        <v>46308</v>
      </c>
      <c r="C396" s="171" t="s">
        <v>13</v>
      </c>
      <c r="D396" s="169">
        <v>3.5</v>
      </c>
      <c r="E396" s="173">
        <v>16</v>
      </c>
      <c r="F396" s="174">
        <v>0.18584999999999999</v>
      </c>
      <c r="G396" s="63" t="s">
        <v>784</v>
      </c>
      <c r="H396" s="169" t="str">
        <f>IFERROR(INDEX(REALDATA!$C$2:$C$1048576,MATCH(G396,REALDATA!$B$2:$B$1048576,0)),"")</f>
        <v>125/FJ</v>
      </c>
      <c r="I396" s="63" t="s">
        <v>460</v>
      </c>
      <c r="J396" s="169" t="s">
        <v>387</v>
      </c>
      <c r="K396" s="63" t="s">
        <v>839</v>
      </c>
      <c r="L396" s="63"/>
      <c r="M396" s="63"/>
      <c r="N396" s="169"/>
      <c r="O396" s="174" t="str">
        <f t="shared" si="7"/>
        <v/>
      </c>
      <c r="P396" s="169"/>
    </row>
    <row r="397" spans="1:16" x14ac:dyDescent="0.25">
      <c r="A397" s="169">
        <v>391</v>
      </c>
      <c r="B397" s="170">
        <v>46308</v>
      </c>
      <c r="C397" s="171" t="s">
        <v>13</v>
      </c>
      <c r="D397" s="169">
        <v>3.5</v>
      </c>
      <c r="E397" s="173">
        <v>23</v>
      </c>
      <c r="F397" s="174">
        <v>0.2261</v>
      </c>
      <c r="G397" s="63" t="s">
        <v>784</v>
      </c>
      <c r="H397" s="169" t="str">
        <f>IFERROR(INDEX(REALDATA!$C$2:$C$1048576,MATCH(G397,REALDATA!$B$2:$B$1048576,0)),"")</f>
        <v>125/FJ</v>
      </c>
      <c r="I397" s="63" t="s">
        <v>835</v>
      </c>
      <c r="J397" s="169" t="s">
        <v>387</v>
      </c>
      <c r="K397" s="63" t="s">
        <v>840</v>
      </c>
      <c r="L397" s="63"/>
      <c r="M397" s="63"/>
      <c r="N397" s="169"/>
      <c r="O397" s="174" t="str">
        <f t="shared" si="7"/>
        <v/>
      </c>
      <c r="P397" s="169"/>
    </row>
    <row r="398" spans="1:16" x14ac:dyDescent="0.25">
      <c r="A398" s="169">
        <v>392</v>
      </c>
      <c r="B398" s="170">
        <v>46309</v>
      </c>
      <c r="C398" s="171" t="s">
        <v>13</v>
      </c>
      <c r="D398" s="169">
        <v>3.5</v>
      </c>
      <c r="E398" s="173">
        <v>18</v>
      </c>
      <c r="F398" s="174">
        <v>0.19162499999999999</v>
      </c>
      <c r="G398" s="63" t="s">
        <v>784</v>
      </c>
      <c r="H398" s="169" t="str">
        <f>IFERROR(INDEX(REALDATA!$C$2:$C$1048576,MATCH(G398,REALDATA!$B$2:$B$1048576,0)),"")</f>
        <v>125/FJ</v>
      </c>
      <c r="I398" s="63" t="s">
        <v>841</v>
      </c>
      <c r="J398" s="169" t="s">
        <v>387</v>
      </c>
      <c r="K398" s="63" t="s">
        <v>842</v>
      </c>
      <c r="L398" s="63"/>
      <c r="M398" s="63"/>
      <c r="N398" s="169"/>
      <c r="O398" s="174" t="str">
        <f t="shared" si="7"/>
        <v/>
      </c>
      <c r="P398" s="169"/>
    </row>
    <row r="399" spans="1:16" x14ac:dyDescent="0.25">
      <c r="A399" s="169">
        <v>393</v>
      </c>
      <c r="B399" s="170">
        <v>46309</v>
      </c>
      <c r="C399" s="171" t="s">
        <v>13</v>
      </c>
      <c r="D399" s="169">
        <v>4.5</v>
      </c>
      <c r="E399" s="173">
        <v>7</v>
      </c>
      <c r="F399" s="174">
        <v>0.11070000000000001</v>
      </c>
      <c r="G399" s="63" t="s">
        <v>784</v>
      </c>
      <c r="H399" s="169" t="str">
        <f>IFERROR(INDEX(REALDATA!$C$2:$C$1048576,MATCH(G399,REALDATA!$B$2:$B$1048576,0)),"")</f>
        <v>125/FJ</v>
      </c>
      <c r="I399" s="63" t="s">
        <v>841</v>
      </c>
      <c r="J399" s="169" t="s">
        <v>387</v>
      </c>
      <c r="K399" s="63" t="s">
        <v>842</v>
      </c>
      <c r="L399" s="63"/>
      <c r="M399" s="63"/>
      <c r="N399" s="169"/>
      <c r="O399" s="174" t="str">
        <f t="shared" si="7"/>
        <v/>
      </c>
      <c r="P399" s="169"/>
    </row>
    <row r="400" spans="1:16" x14ac:dyDescent="0.25">
      <c r="A400" s="169">
        <v>394</v>
      </c>
      <c r="B400" s="170">
        <v>46310</v>
      </c>
      <c r="C400" s="171" t="s">
        <v>13</v>
      </c>
      <c r="D400" s="169">
        <v>4.5</v>
      </c>
      <c r="E400" s="173">
        <v>1</v>
      </c>
      <c r="F400" s="174">
        <v>1.9125E-2</v>
      </c>
      <c r="G400" s="63" t="s">
        <v>411</v>
      </c>
      <c r="H400" s="169" t="s">
        <v>778</v>
      </c>
      <c r="I400" s="63" t="s">
        <v>788</v>
      </c>
      <c r="J400" s="169" t="s">
        <v>411</v>
      </c>
      <c r="K400" s="63" t="s">
        <v>843</v>
      </c>
      <c r="L400" s="63"/>
      <c r="M400" s="63" t="s">
        <v>780</v>
      </c>
      <c r="N400" s="169"/>
      <c r="O400" s="174" t="str">
        <f t="shared" si="7"/>
        <v/>
      </c>
      <c r="P400" s="169"/>
    </row>
    <row r="401" spans="1:16" x14ac:dyDescent="0.25">
      <c r="A401" s="169">
        <v>395</v>
      </c>
      <c r="B401" s="170">
        <v>46310</v>
      </c>
      <c r="C401" s="171" t="s">
        <v>13</v>
      </c>
      <c r="D401" s="169">
        <v>4.5</v>
      </c>
      <c r="E401" s="173">
        <v>1</v>
      </c>
      <c r="F401" s="174">
        <v>1.7999999999999999E-2</v>
      </c>
      <c r="G401" s="63"/>
      <c r="H401" s="169"/>
      <c r="I401" s="63" t="s">
        <v>844</v>
      </c>
      <c r="J401" s="169" t="s">
        <v>771</v>
      </c>
      <c r="K401" s="63" t="s">
        <v>843</v>
      </c>
      <c r="L401" s="63"/>
      <c r="M401" s="63"/>
      <c r="N401" s="169"/>
      <c r="O401" s="174" t="str">
        <f t="shared" si="7"/>
        <v/>
      </c>
      <c r="P401" s="169"/>
    </row>
    <row r="402" spans="1:16" x14ac:dyDescent="0.25">
      <c r="A402" s="169">
        <v>396</v>
      </c>
      <c r="B402" s="170">
        <v>46310</v>
      </c>
      <c r="C402" s="171" t="s">
        <v>13</v>
      </c>
      <c r="D402" s="169">
        <v>2</v>
      </c>
      <c r="E402" s="173">
        <v>2</v>
      </c>
      <c r="F402" s="174">
        <v>1.4E-2</v>
      </c>
      <c r="G402" s="63"/>
      <c r="H402" s="169"/>
      <c r="I402" s="63" t="s">
        <v>844</v>
      </c>
      <c r="J402" s="169" t="s">
        <v>771</v>
      </c>
      <c r="K402" s="63" t="s">
        <v>843</v>
      </c>
      <c r="L402" s="63"/>
      <c r="M402" s="63"/>
      <c r="N402" s="169"/>
      <c r="O402" s="174" t="str">
        <f t="shared" si="7"/>
        <v/>
      </c>
      <c r="P402" s="169"/>
    </row>
    <row r="403" spans="1:16" x14ac:dyDescent="0.25">
      <c r="A403" s="169">
        <v>397</v>
      </c>
      <c r="B403" s="170">
        <v>46310</v>
      </c>
      <c r="C403" s="171" t="s">
        <v>13</v>
      </c>
      <c r="D403" s="169">
        <v>3</v>
      </c>
      <c r="E403" s="173">
        <v>2</v>
      </c>
      <c r="F403" s="174">
        <v>1.9199999999999998E-2</v>
      </c>
      <c r="G403" s="63"/>
      <c r="H403" s="169"/>
      <c r="I403" s="63" t="s">
        <v>844</v>
      </c>
      <c r="J403" s="169" t="s">
        <v>771</v>
      </c>
      <c r="K403" s="63" t="s">
        <v>843</v>
      </c>
      <c r="L403" s="63"/>
      <c r="M403" s="63"/>
      <c r="N403" s="169"/>
      <c r="O403" s="174" t="str">
        <f t="shared" si="7"/>
        <v/>
      </c>
      <c r="P403" s="169"/>
    </row>
    <row r="404" spans="1:16" x14ac:dyDescent="0.25">
      <c r="A404" s="169">
        <v>398</v>
      </c>
      <c r="B404" s="170">
        <v>46310</v>
      </c>
      <c r="C404" s="171" t="s">
        <v>13</v>
      </c>
      <c r="D404" s="169">
        <v>3.5</v>
      </c>
      <c r="E404" s="173">
        <v>35</v>
      </c>
      <c r="F404" s="174">
        <v>0.37358999999999998</v>
      </c>
      <c r="G404" s="63" t="s">
        <v>845</v>
      </c>
      <c r="H404" s="169" t="str">
        <f>IFERROR(INDEX(REALDATA!$C$2:$C$1048576,MATCH(G404,REALDATA!$B$2:$B$1048576,0)),"")</f>
        <v>041/TD</v>
      </c>
      <c r="I404" s="63" t="s">
        <v>797</v>
      </c>
      <c r="J404" s="169" t="s">
        <v>387</v>
      </c>
      <c r="K404" s="63" t="s">
        <v>843</v>
      </c>
      <c r="L404" s="63"/>
      <c r="M404" s="63"/>
      <c r="N404" s="169"/>
      <c r="O404" s="174" t="str">
        <f t="shared" si="7"/>
        <v/>
      </c>
      <c r="P404" s="169"/>
    </row>
    <row r="405" spans="1:16" x14ac:dyDescent="0.25">
      <c r="A405" s="169">
        <v>399</v>
      </c>
      <c r="B405" s="170">
        <v>46311</v>
      </c>
      <c r="C405" s="171" t="s">
        <v>13</v>
      </c>
      <c r="D405" s="169">
        <v>3.5</v>
      </c>
      <c r="E405" s="173">
        <v>25</v>
      </c>
      <c r="F405" s="174">
        <v>0.22434999999999999</v>
      </c>
      <c r="G405" s="63" t="s">
        <v>845</v>
      </c>
      <c r="H405" s="169" t="str">
        <f>IFERROR(INDEX(REALDATA!$C$2:$C$1048576,MATCH(G405,REALDATA!$B$2:$B$1048576,0)),"")</f>
        <v>041/TD</v>
      </c>
      <c r="I405" s="63" t="s">
        <v>797</v>
      </c>
      <c r="J405" s="169" t="s">
        <v>387</v>
      </c>
      <c r="K405" s="63" t="s">
        <v>846</v>
      </c>
      <c r="L405" s="63"/>
      <c r="M405" s="63"/>
      <c r="N405" s="169"/>
      <c r="O405" s="174" t="str">
        <f t="shared" si="7"/>
        <v/>
      </c>
      <c r="P405" s="169"/>
    </row>
    <row r="406" spans="1:16" x14ac:dyDescent="0.25">
      <c r="A406" s="169">
        <v>400</v>
      </c>
      <c r="B406" s="170">
        <v>46311</v>
      </c>
      <c r="C406" s="171" t="s">
        <v>13</v>
      </c>
      <c r="D406" s="169">
        <v>4.5</v>
      </c>
      <c r="E406" s="173">
        <v>5</v>
      </c>
      <c r="F406" s="174">
        <v>8.9099999999999999E-2</v>
      </c>
      <c r="G406" s="63"/>
      <c r="H406" s="169"/>
      <c r="I406" s="63" t="s">
        <v>847</v>
      </c>
      <c r="J406" s="169" t="s">
        <v>387</v>
      </c>
      <c r="K406" s="63" t="s">
        <v>848</v>
      </c>
      <c r="L406" s="63"/>
      <c r="M406" s="63"/>
      <c r="N406" s="169"/>
      <c r="O406" s="174" t="str">
        <f t="shared" si="7"/>
        <v/>
      </c>
      <c r="P406" s="169"/>
    </row>
    <row r="407" spans="1:16" x14ac:dyDescent="0.25">
      <c r="A407" s="169">
        <v>401</v>
      </c>
      <c r="B407" s="170">
        <v>46312</v>
      </c>
      <c r="C407" s="171" t="s">
        <v>13</v>
      </c>
      <c r="D407" s="169">
        <v>7</v>
      </c>
      <c r="E407" s="173">
        <v>4</v>
      </c>
      <c r="F407" s="174">
        <v>0.14419999999999999</v>
      </c>
      <c r="G407" s="63" t="s">
        <v>784</v>
      </c>
      <c r="H407" s="169" t="str">
        <f>IFERROR(INDEX(REALDATA!$C$2:$C$1048576,MATCH(G407,REALDATA!$B$2:$B$1048576,0)),"")</f>
        <v>125/FJ</v>
      </c>
      <c r="I407" s="63" t="s">
        <v>835</v>
      </c>
      <c r="J407" s="169" t="s">
        <v>387</v>
      </c>
      <c r="K407" s="63" t="s">
        <v>849</v>
      </c>
      <c r="L407" s="63"/>
      <c r="M407" s="63"/>
      <c r="N407" s="169"/>
      <c r="O407" s="174" t="str">
        <f t="shared" si="7"/>
        <v/>
      </c>
      <c r="P407" s="169"/>
    </row>
    <row r="408" spans="1:16" x14ac:dyDescent="0.25">
      <c r="A408" s="169">
        <v>402</v>
      </c>
      <c r="B408" s="170">
        <v>46312</v>
      </c>
      <c r="C408" s="171" t="s">
        <v>13</v>
      </c>
      <c r="D408" s="169">
        <v>3.5</v>
      </c>
      <c r="E408" s="173">
        <v>28</v>
      </c>
      <c r="F408" s="174">
        <v>0.26722499999999999</v>
      </c>
      <c r="G408" s="63" t="s">
        <v>784</v>
      </c>
      <c r="H408" s="169" t="str">
        <f>IFERROR(INDEX(REALDATA!$C$2:$C$1048576,MATCH(G408,REALDATA!$B$2:$B$1048576,0)),"")</f>
        <v>125/FJ</v>
      </c>
      <c r="I408" s="63" t="s">
        <v>847</v>
      </c>
      <c r="J408" s="169" t="s">
        <v>387</v>
      </c>
      <c r="K408" s="63" t="s">
        <v>850</v>
      </c>
      <c r="L408" s="63"/>
      <c r="M408" s="63"/>
      <c r="N408" s="169"/>
      <c r="O408" s="174" t="str">
        <f t="shared" si="7"/>
        <v/>
      </c>
      <c r="P408" s="169"/>
    </row>
    <row r="409" spans="1:16" x14ac:dyDescent="0.25">
      <c r="A409" s="169">
        <v>403</v>
      </c>
      <c r="B409" s="170">
        <v>46312</v>
      </c>
      <c r="C409" s="171" t="s">
        <v>13</v>
      </c>
      <c r="D409" s="169">
        <v>4.5</v>
      </c>
      <c r="E409" s="173">
        <v>43</v>
      </c>
      <c r="F409" s="174">
        <v>0.66145500000000002</v>
      </c>
      <c r="G409" s="63" t="s">
        <v>784</v>
      </c>
      <c r="H409" s="169" t="str">
        <f>IFERROR(INDEX(REALDATA!$C$2:$C$1048576,MATCH(G409,REALDATA!$B$2:$B$1048576,0)),"")</f>
        <v>125/FJ</v>
      </c>
      <c r="I409" s="63" t="s">
        <v>797</v>
      </c>
      <c r="J409" s="169" t="s">
        <v>387</v>
      </c>
      <c r="K409" s="63" t="s">
        <v>850</v>
      </c>
      <c r="L409" s="63"/>
      <c r="M409" s="63"/>
      <c r="N409" s="169"/>
      <c r="O409" s="174" t="str">
        <f t="shared" si="7"/>
        <v/>
      </c>
      <c r="P409" s="169"/>
    </row>
    <row r="410" spans="1:16" x14ac:dyDescent="0.25">
      <c r="A410" s="169">
        <v>404</v>
      </c>
      <c r="B410" s="170">
        <v>46312</v>
      </c>
      <c r="C410" s="171" t="s">
        <v>13</v>
      </c>
      <c r="D410" s="169">
        <v>4.5</v>
      </c>
      <c r="E410" s="173">
        <v>3</v>
      </c>
      <c r="F410" s="174">
        <v>4.6800000000000001E-2</v>
      </c>
      <c r="G410" s="63" t="s">
        <v>784</v>
      </c>
      <c r="H410" s="169" t="str">
        <f>IFERROR(INDEX(REALDATA!$C$2:$C$1048576,MATCH(G410,REALDATA!$B$2:$B$1048576,0)),"")</f>
        <v>125/FJ</v>
      </c>
      <c r="I410" s="63" t="s">
        <v>797</v>
      </c>
      <c r="J410" s="169" t="s">
        <v>387</v>
      </c>
      <c r="K410" s="63" t="s">
        <v>850</v>
      </c>
      <c r="L410" s="63"/>
      <c r="M410" s="63"/>
      <c r="N410" s="169"/>
      <c r="O410" s="174" t="str">
        <f t="shared" si="7"/>
        <v/>
      </c>
      <c r="P410" s="169"/>
    </row>
    <row r="411" spans="1:16" x14ac:dyDescent="0.25">
      <c r="A411" s="169">
        <v>405</v>
      </c>
      <c r="B411" s="170">
        <v>46314</v>
      </c>
      <c r="C411" s="171" t="s">
        <v>13</v>
      </c>
      <c r="D411" s="169">
        <v>4.5</v>
      </c>
      <c r="E411" s="173">
        <v>13</v>
      </c>
      <c r="F411" s="174">
        <v>0.22140000000000001</v>
      </c>
      <c r="G411" s="63" t="s">
        <v>845</v>
      </c>
      <c r="H411" s="169" t="str">
        <f>IFERROR(INDEX(REALDATA!$C$2:$C$1048576,MATCH(G411,REALDATA!$B$2:$B$1048576,0)),"")</f>
        <v>041/TD</v>
      </c>
      <c r="I411" s="63" t="s">
        <v>797</v>
      </c>
      <c r="J411" s="169" t="s">
        <v>387</v>
      </c>
      <c r="K411" s="63" t="s">
        <v>851</v>
      </c>
      <c r="L411" s="63"/>
      <c r="M411" s="63"/>
      <c r="N411" s="169"/>
      <c r="O411" s="174" t="str">
        <f t="shared" si="7"/>
        <v/>
      </c>
      <c r="P411" s="169"/>
    </row>
    <row r="412" spans="1:16" x14ac:dyDescent="0.25">
      <c r="A412" s="169">
        <v>406</v>
      </c>
      <c r="B412" s="170">
        <v>46314</v>
      </c>
      <c r="C412" s="171" t="s">
        <v>13</v>
      </c>
      <c r="D412" s="169">
        <v>4.5</v>
      </c>
      <c r="E412" s="173">
        <v>31</v>
      </c>
      <c r="F412" s="174">
        <v>0.49468499999999999</v>
      </c>
      <c r="G412" s="63" t="s">
        <v>852</v>
      </c>
      <c r="H412" s="169" t="str">
        <f>IFERROR(INDEX(REALDATA!$C$2:$C$1048576,MATCH(G412,REALDATA!$B$2:$B$1048576,0)),"")</f>
        <v>115/PA</v>
      </c>
      <c r="I412" s="63" t="s">
        <v>853</v>
      </c>
      <c r="J412" s="169" t="s">
        <v>387</v>
      </c>
      <c r="K412" s="63" t="s">
        <v>851</v>
      </c>
      <c r="L412" s="63"/>
      <c r="M412" s="63"/>
      <c r="N412" s="169"/>
      <c r="O412" s="174" t="str">
        <f t="shared" si="7"/>
        <v/>
      </c>
      <c r="P412" s="169"/>
    </row>
    <row r="413" spans="1:16" x14ac:dyDescent="0.25">
      <c r="A413" s="169">
        <v>407</v>
      </c>
      <c r="B413" s="170">
        <v>46314</v>
      </c>
      <c r="C413" s="171" t="s">
        <v>13</v>
      </c>
      <c r="D413" s="169">
        <v>4.5</v>
      </c>
      <c r="E413" s="173">
        <v>6</v>
      </c>
      <c r="F413" s="174">
        <v>0.113175</v>
      </c>
      <c r="G413" s="63" t="s">
        <v>852</v>
      </c>
      <c r="H413" s="169" t="str">
        <f>IFERROR(INDEX(REALDATA!$C$2:$C$1048576,MATCH(G413,REALDATA!$B$2:$B$1048576,0)),"")</f>
        <v>115/PA</v>
      </c>
      <c r="I413" s="63" t="s">
        <v>853</v>
      </c>
      <c r="J413" s="169" t="s">
        <v>387</v>
      </c>
      <c r="K413" s="63" t="s">
        <v>851</v>
      </c>
      <c r="L413" s="63"/>
      <c r="M413" s="63"/>
      <c r="N413" s="169"/>
      <c r="O413" s="174" t="str">
        <f t="shared" si="7"/>
        <v/>
      </c>
      <c r="P413" s="169"/>
    </row>
    <row r="414" spans="1:16" x14ac:dyDescent="0.25">
      <c r="A414" s="169">
        <v>408</v>
      </c>
      <c r="B414" s="170">
        <v>46314</v>
      </c>
      <c r="C414" s="171" t="s">
        <v>13</v>
      </c>
      <c r="D414" s="169">
        <v>6</v>
      </c>
      <c r="E414" s="173">
        <v>2</v>
      </c>
      <c r="F414" s="174">
        <v>5.3999999999999999E-2</v>
      </c>
      <c r="G414" s="63" t="s">
        <v>784</v>
      </c>
      <c r="H414" s="169" t="str">
        <f>IFERROR(INDEX(REALDATA!$C$2:$C$1048576,MATCH(G414,REALDATA!$B$2:$B$1048576,0)),"")</f>
        <v>125/FJ</v>
      </c>
      <c r="I414" s="63" t="s">
        <v>460</v>
      </c>
      <c r="J414" s="169" t="s">
        <v>387</v>
      </c>
      <c r="K414" s="63" t="s">
        <v>851</v>
      </c>
      <c r="L414" s="63"/>
      <c r="M414" s="63"/>
      <c r="N414" s="169"/>
      <c r="O414" s="174" t="str">
        <f t="shared" si="7"/>
        <v/>
      </c>
      <c r="P414" s="169"/>
    </row>
    <row r="415" spans="1:16" x14ac:dyDescent="0.25">
      <c r="A415" s="169">
        <v>409</v>
      </c>
      <c r="B415" s="170">
        <v>46314</v>
      </c>
      <c r="C415" s="171" t="s">
        <v>13</v>
      </c>
      <c r="D415" s="169">
        <v>4.5</v>
      </c>
      <c r="E415" s="173">
        <v>15</v>
      </c>
      <c r="F415" s="174">
        <v>0.237375</v>
      </c>
      <c r="G415" s="63" t="s">
        <v>845</v>
      </c>
      <c r="H415" s="169" t="str">
        <f>IFERROR(INDEX(REALDATA!$C$2:$C$1048576,MATCH(G415,REALDATA!$B$2:$B$1048576,0)),"")</f>
        <v>041/TD</v>
      </c>
      <c r="I415" s="63" t="s">
        <v>847</v>
      </c>
      <c r="J415" s="169" t="s">
        <v>387</v>
      </c>
      <c r="K415" s="63" t="s">
        <v>851</v>
      </c>
      <c r="L415" s="63"/>
      <c r="M415" s="63"/>
      <c r="N415" s="169"/>
      <c r="O415" s="174" t="str">
        <f t="shared" si="7"/>
        <v/>
      </c>
      <c r="P415" s="169"/>
    </row>
    <row r="416" spans="1:16" x14ac:dyDescent="0.25">
      <c r="A416" s="169">
        <v>411</v>
      </c>
      <c r="B416" s="170">
        <v>46315</v>
      </c>
      <c r="C416" s="171" t="s">
        <v>13</v>
      </c>
      <c r="D416" s="169">
        <v>3.5</v>
      </c>
      <c r="E416" s="173">
        <v>6</v>
      </c>
      <c r="F416" s="174">
        <v>6.0900000000000003E-2</v>
      </c>
      <c r="G416" s="63" t="s">
        <v>845</v>
      </c>
      <c r="H416" s="169" t="str">
        <f>IFERROR(INDEX(REALDATA!$C$2:$C$1048576,MATCH(G416,REALDATA!$B$2:$B$1048576,0)),"")</f>
        <v>041/TD</v>
      </c>
      <c r="I416" s="63" t="s">
        <v>847</v>
      </c>
      <c r="J416" s="169" t="s">
        <v>387</v>
      </c>
      <c r="K416" s="63" t="s">
        <v>854</v>
      </c>
      <c r="L416" s="63"/>
      <c r="M416" s="63"/>
      <c r="N416" s="169"/>
      <c r="O416" s="174" t="str">
        <f t="shared" si="7"/>
        <v/>
      </c>
      <c r="P416" s="169"/>
    </row>
    <row r="417" spans="1:16" x14ac:dyDescent="0.25">
      <c r="A417" s="169">
        <v>412</v>
      </c>
      <c r="B417" s="170">
        <v>46315</v>
      </c>
      <c r="C417" s="171" t="s">
        <v>13</v>
      </c>
      <c r="D417" s="169">
        <v>3.5</v>
      </c>
      <c r="E417" s="173">
        <v>14</v>
      </c>
      <c r="F417" s="174">
        <v>0.14574000000000001</v>
      </c>
      <c r="G417" s="63" t="s">
        <v>845</v>
      </c>
      <c r="H417" s="169" t="str">
        <f>IFERROR(INDEX(REALDATA!$C$2:$C$1048576,MATCH(G417,REALDATA!$B$2:$B$1048576,0)),"")</f>
        <v>041/TD</v>
      </c>
      <c r="I417" s="63" t="s">
        <v>797</v>
      </c>
      <c r="J417" s="169" t="s">
        <v>387</v>
      </c>
      <c r="K417" s="63" t="s">
        <v>854</v>
      </c>
      <c r="L417" s="63"/>
      <c r="M417" s="63"/>
      <c r="N417" s="169"/>
      <c r="O417" s="174" t="str">
        <f t="shared" si="7"/>
        <v/>
      </c>
      <c r="P417" s="169"/>
    </row>
    <row r="418" spans="1:16" x14ac:dyDescent="0.25">
      <c r="A418" s="169">
        <v>413</v>
      </c>
      <c r="B418" s="170">
        <v>46315</v>
      </c>
      <c r="C418" s="171" t="s">
        <v>13</v>
      </c>
      <c r="D418" s="169">
        <v>4.5</v>
      </c>
      <c r="E418" s="173">
        <v>30</v>
      </c>
      <c r="F418" s="174">
        <v>0.47043000000000001</v>
      </c>
      <c r="G418" s="63" t="s">
        <v>845</v>
      </c>
      <c r="H418" s="169" t="str">
        <f>IFERROR(INDEX(REALDATA!$C$2:$C$1048576,MATCH(G418,REALDATA!$B$2:$B$1048576,0)),"")</f>
        <v>041/TD</v>
      </c>
      <c r="I418" s="63" t="s">
        <v>855</v>
      </c>
      <c r="J418" s="169" t="s">
        <v>387</v>
      </c>
      <c r="K418" s="63" t="s">
        <v>854</v>
      </c>
      <c r="L418" s="63"/>
      <c r="M418" s="63"/>
      <c r="N418" s="169"/>
      <c r="O418" s="174" t="str">
        <f t="shared" si="7"/>
        <v/>
      </c>
      <c r="P418" s="169"/>
    </row>
    <row r="419" spans="1:16" x14ac:dyDescent="0.25">
      <c r="A419" s="169">
        <v>415</v>
      </c>
      <c r="B419" s="170">
        <v>46316</v>
      </c>
      <c r="C419" s="171" t="s">
        <v>13</v>
      </c>
      <c r="D419" s="169">
        <v>4.5</v>
      </c>
      <c r="E419" s="173">
        <v>20</v>
      </c>
      <c r="F419" s="174">
        <v>0.35748000000000002</v>
      </c>
      <c r="G419" s="63" t="s">
        <v>852</v>
      </c>
      <c r="H419" s="169" t="str">
        <f>IFERROR(INDEX(REALDATA!$C$2:$C$1048576,MATCH(G419,REALDATA!$B$2:$B$1048576,0)),"")</f>
        <v>115/PA</v>
      </c>
      <c r="I419" s="63" t="s">
        <v>853</v>
      </c>
      <c r="J419" s="169" t="s">
        <v>387</v>
      </c>
      <c r="K419" s="63" t="s">
        <v>856</v>
      </c>
      <c r="L419" s="63"/>
      <c r="M419" s="63"/>
      <c r="N419" s="169"/>
      <c r="O419" s="174" t="str">
        <f t="shared" si="7"/>
        <v/>
      </c>
      <c r="P419" s="169"/>
    </row>
    <row r="420" spans="1:16" x14ac:dyDescent="0.25">
      <c r="A420" s="169">
        <v>416</v>
      </c>
      <c r="B420" s="170">
        <v>46316</v>
      </c>
      <c r="C420" s="171" t="s">
        <v>13</v>
      </c>
      <c r="D420" s="169">
        <v>6</v>
      </c>
      <c r="E420" s="173">
        <v>19</v>
      </c>
      <c r="F420" s="174">
        <v>0.43812000000000001</v>
      </c>
      <c r="G420" s="63" t="s">
        <v>852</v>
      </c>
      <c r="H420" s="169" t="str">
        <f>IFERROR(INDEX(REALDATA!$C$2:$C$1048576,MATCH(G420,REALDATA!$B$2:$B$1048576,0)),"")</f>
        <v>115/PA</v>
      </c>
      <c r="I420" s="63" t="s">
        <v>853</v>
      </c>
      <c r="J420" s="169" t="s">
        <v>387</v>
      </c>
      <c r="K420" s="63" t="s">
        <v>856</v>
      </c>
      <c r="L420" s="63"/>
      <c r="M420" s="63"/>
      <c r="N420" s="169"/>
      <c r="O420" s="174" t="str">
        <f t="shared" si="7"/>
        <v/>
      </c>
      <c r="P420" s="169"/>
    </row>
    <row r="421" spans="1:16" x14ac:dyDescent="0.25">
      <c r="A421" s="169">
        <v>417</v>
      </c>
      <c r="B421" s="170">
        <v>46316</v>
      </c>
      <c r="C421" s="171" t="s">
        <v>13</v>
      </c>
      <c r="D421" s="169">
        <v>3.5</v>
      </c>
      <c r="E421" s="173">
        <v>5</v>
      </c>
      <c r="F421" s="174">
        <v>5.2499999999999998E-2</v>
      </c>
      <c r="G421" s="63" t="s">
        <v>411</v>
      </c>
      <c r="H421" s="169" t="s">
        <v>415</v>
      </c>
      <c r="I421" s="63" t="s">
        <v>411</v>
      </c>
      <c r="J421" s="169" t="s">
        <v>411</v>
      </c>
      <c r="K421" s="63" t="s">
        <v>856</v>
      </c>
      <c r="L421" s="63"/>
      <c r="M421" s="63"/>
      <c r="N421" s="169"/>
      <c r="O421" s="174" t="str">
        <f t="shared" si="7"/>
        <v/>
      </c>
      <c r="P421" s="169"/>
    </row>
    <row r="422" spans="1:16" x14ac:dyDescent="0.25">
      <c r="A422" s="169">
        <v>418</v>
      </c>
      <c r="B422" s="170">
        <v>46316</v>
      </c>
      <c r="C422" s="171" t="s">
        <v>13</v>
      </c>
      <c r="D422" s="169">
        <v>4.5</v>
      </c>
      <c r="E422" s="173">
        <v>5</v>
      </c>
      <c r="F422" s="174">
        <v>0.09</v>
      </c>
      <c r="G422" s="63" t="s">
        <v>411</v>
      </c>
      <c r="H422" s="169" t="s">
        <v>415</v>
      </c>
      <c r="I422" s="63" t="s">
        <v>411</v>
      </c>
      <c r="J422" s="169" t="s">
        <v>411</v>
      </c>
      <c r="K422" s="63" t="s">
        <v>856</v>
      </c>
      <c r="L422" s="63"/>
      <c r="M422" s="63"/>
      <c r="N422" s="169"/>
      <c r="O422" s="174" t="str">
        <f t="shared" si="7"/>
        <v/>
      </c>
      <c r="P422" s="169"/>
    </row>
    <row r="423" spans="1:16" x14ac:dyDescent="0.25">
      <c r="A423" s="169">
        <v>419</v>
      </c>
      <c r="B423" s="170">
        <v>46316</v>
      </c>
      <c r="C423" s="171" t="s">
        <v>13</v>
      </c>
      <c r="D423" s="169">
        <v>6</v>
      </c>
      <c r="E423" s="173">
        <v>5</v>
      </c>
      <c r="F423" s="174">
        <v>0.17280000000000001</v>
      </c>
      <c r="G423" s="63" t="s">
        <v>411</v>
      </c>
      <c r="H423" s="169" t="s">
        <v>415</v>
      </c>
      <c r="I423" s="63" t="s">
        <v>857</v>
      </c>
      <c r="J423" s="169" t="s">
        <v>411</v>
      </c>
      <c r="K423" s="63" t="s">
        <v>856</v>
      </c>
      <c r="L423" s="63"/>
      <c r="M423" s="63"/>
      <c r="N423" s="169"/>
      <c r="O423" s="174" t="str">
        <f t="shared" si="7"/>
        <v/>
      </c>
      <c r="P423" s="169"/>
    </row>
    <row r="424" spans="1:16" x14ac:dyDescent="0.25">
      <c r="A424" s="169">
        <v>420</v>
      </c>
      <c r="B424" s="170">
        <v>46316</v>
      </c>
      <c r="C424" s="171" t="s">
        <v>13</v>
      </c>
      <c r="D424" s="169">
        <v>6</v>
      </c>
      <c r="E424" s="173">
        <v>7</v>
      </c>
      <c r="F424" s="174">
        <v>0.1656</v>
      </c>
      <c r="G424" s="63" t="s">
        <v>784</v>
      </c>
      <c r="H424" s="169" t="str">
        <f>IFERROR(INDEX(REALDATA!$C$2:$C$1048576,MATCH(G424,REALDATA!$B$2:$B$1048576,0)),"")</f>
        <v>125/FJ</v>
      </c>
      <c r="I424" s="63" t="s">
        <v>785</v>
      </c>
      <c r="J424" s="169" t="s">
        <v>387</v>
      </c>
      <c r="K424" s="63" t="s">
        <v>856</v>
      </c>
      <c r="L424" s="63"/>
      <c r="M424" s="63"/>
      <c r="N424" s="169"/>
      <c r="O424" s="174" t="str">
        <f t="shared" si="7"/>
        <v/>
      </c>
      <c r="P424" s="169"/>
    </row>
    <row r="425" spans="1:16" x14ac:dyDescent="0.25">
      <c r="A425" s="169">
        <v>421</v>
      </c>
      <c r="B425" s="170">
        <v>46317</v>
      </c>
      <c r="C425" s="171" t="s">
        <v>13</v>
      </c>
      <c r="D425" s="169">
        <v>3.5</v>
      </c>
      <c r="E425" s="173">
        <v>30</v>
      </c>
      <c r="F425" s="174">
        <v>0.31738</v>
      </c>
      <c r="G425" s="63"/>
      <c r="H425" s="169"/>
      <c r="I425" s="63" t="s">
        <v>855</v>
      </c>
      <c r="J425" s="169" t="s">
        <v>387</v>
      </c>
      <c r="K425" s="63" t="s">
        <v>858</v>
      </c>
      <c r="L425" s="63"/>
      <c r="M425" s="63"/>
      <c r="N425" s="169"/>
      <c r="O425" s="174" t="str">
        <f t="shared" si="7"/>
        <v/>
      </c>
      <c r="P425" s="169"/>
    </row>
    <row r="426" spans="1:16" x14ac:dyDescent="0.25">
      <c r="A426" s="169">
        <v>422</v>
      </c>
      <c r="B426" s="170">
        <v>46317</v>
      </c>
      <c r="C426" s="171" t="s">
        <v>13</v>
      </c>
      <c r="D426" s="169">
        <v>4.5</v>
      </c>
      <c r="E426" s="173">
        <v>6</v>
      </c>
      <c r="F426" s="174">
        <v>9.6299999999999997E-2</v>
      </c>
      <c r="G426" s="63" t="s">
        <v>784</v>
      </c>
      <c r="H426" s="169" t="str">
        <f>IFERROR(INDEX(REALDATA!$C$2:$C$1048576,MATCH(G426,REALDATA!$B$2:$B$1048576,0)),"")</f>
        <v>125/FJ</v>
      </c>
      <c r="I426" s="63" t="s">
        <v>835</v>
      </c>
      <c r="J426" s="169" t="s">
        <v>387</v>
      </c>
      <c r="K426" s="63" t="s">
        <v>859</v>
      </c>
      <c r="L426" s="63"/>
      <c r="M426" s="63"/>
      <c r="N426" s="169"/>
      <c r="O426" s="174" t="str">
        <f t="shared" si="7"/>
        <v/>
      </c>
      <c r="P426" s="169"/>
    </row>
    <row r="427" spans="1:16" x14ac:dyDescent="0.25">
      <c r="A427" s="169">
        <v>425</v>
      </c>
      <c r="B427" s="170">
        <v>46318</v>
      </c>
      <c r="C427" s="171" t="s">
        <v>13</v>
      </c>
      <c r="D427" s="169">
        <v>3.5</v>
      </c>
      <c r="E427" s="173">
        <v>20</v>
      </c>
      <c r="F427" s="174">
        <v>0.19386500000000001</v>
      </c>
      <c r="G427" s="63" t="s">
        <v>852</v>
      </c>
      <c r="H427" s="169" t="str">
        <f>IFERROR(INDEX(REALDATA!$C$2:$C$1048576,MATCH(G427,REALDATA!$B$2:$B$1048576,0)),"")</f>
        <v>115/PA</v>
      </c>
      <c r="I427" s="63" t="s">
        <v>853</v>
      </c>
      <c r="J427" s="169" t="s">
        <v>387</v>
      </c>
      <c r="K427" s="63" t="s">
        <v>860</v>
      </c>
      <c r="L427" s="63"/>
      <c r="M427" s="63"/>
      <c r="N427" s="169"/>
      <c r="O427" s="174" t="str">
        <f t="shared" si="7"/>
        <v/>
      </c>
      <c r="P427" s="169"/>
    </row>
    <row r="428" spans="1:16" x14ac:dyDescent="0.25">
      <c r="A428" s="169">
        <v>426</v>
      </c>
      <c r="B428" s="170">
        <v>46319</v>
      </c>
      <c r="C428" s="171" t="s">
        <v>13</v>
      </c>
      <c r="D428" s="169">
        <v>7</v>
      </c>
      <c r="E428" s="173">
        <v>38</v>
      </c>
      <c r="F428" s="174">
        <v>1.1571</v>
      </c>
      <c r="G428" s="63" t="s">
        <v>852</v>
      </c>
      <c r="H428" s="169" t="str">
        <f>IFERROR(INDEX(REALDATA!$C$2:$C$1048576,MATCH(G428,REALDATA!$B$2:$B$1048576,0)),"")</f>
        <v>115/PA</v>
      </c>
      <c r="I428" s="63" t="s">
        <v>853</v>
      </c>
      <c r="J428" s="169" t="s">
        <v>387</v>
      </c>
      <c r="K428" s="63" t="s">
        <v>861</v>
      </c>
      <c r="L428" s="63"/>
      <c r="M428" s="63"/>
      <c r="N428" s="169"/>
      <c r="O428" s="174" t="str">
        <f t="shared" si="7"/>
        <v/>
      </c>
      <c r="P428" s="169"/>
    </row>
    <row r="429" spans="1:16" x14ac:dyDescent="0.25">
      <c r="A429" s="169">
        <v>427</v>
      </c>
      <c r="B429" s="170">
        <v>46319</v>
      </c>
      <c r="C429" s="171" t="s">
        <v>13</v>
      </c>
      <c r="D429" s="169">
        <v>3.5</v>
      </c>
      <c r="E429" s="173">
        <v>10</v>
      </c>
      <c r="F429" s="174">
        <v>0.104475</v>
      </c>
      <c r="G429" s="63" t="s">
        <v>411</v>
      </c>
      <c r="H429" s="169" t="s">
        <v>778</v>
      </c>
      <c r="I429" s="63" t="s">
        <v>862</v>
      </c>
      <c r="J429" s="169" t="s">
        <v>411</v>
      </c>
      <c r="K429" s="63" t="s">
        <v>861</v>
      </c>
      <c r="L429" s="63"/>
      <c r="M429" s="63" t="s">
        <v>780</v>
      </c>
      <c r="N429" s="169"/>
      <c r="O429" s="174" t="str">
        <f t="shared" si="7"/>
        <v/>
      </c>
      <c r="P429" s="169"/>
    </row>
    <row r="430" spans="1:16" x14ac:dyDescent="0.25">
      <c r="A430" s="169">
        <v>428</v>
      </c>
      <c r="B430" s="170">
        <v>46319</v>
      </c>
      <c r="C430" s="171" t="s">
        <v>13</v>
      </c>
      <c r="D430" s="169">
        <v>4.5</v>
      </c>
      <c r="E430" s="173">
        <v>62</v>
      </c>
      <c r="F430" s="174">
        <v>1.08927</v>
      </c>
      <c r="G430" s="63" t="s">
        <v>852</v>
      </c>
      <c r="H430" s="169" t="str">
        <f>IFERROR(INDEX(REALDATA!$C$2:$C$1048576,MATCH(G430,REALDATA!$B$2:$B$1048576,0)),"")</f>
        <v>115/PA</v>
      </c>
      <c r="I430" s="63" t="s">
        <v>853</v>
      </c>
      <c r="J430" s="169" t="s">
        <v>387</v>
      </c>
      <c r="K430" s="63" t="s">
        <v>861</v>
      </c>
      <c r="L430" s="63"/>
      <c r="M430" s="63"/>
      <c r="N430" s="169"/>
      <c r="O430" s="174" t="str">
        <f t="shared" si="7"/>
        <v/>
      </c>
      <c r="P430" s="169"/>
    </row>
    <row r="431" spans="1:16" x14ac:dyDescent="0.25">
      <c r="A431" s="169">
        <v>429</v>
      </c>
      <c r="B431" s="170">
        <v>46319</v>
      </c>
      <c r="C431" s="171" t="s">
        <v>13</v>
      </c>
      <c r="D431" s="169">
        <v>4.5</v>
      </c>
      <c r="E431" s="173">
        <v>4</v>
      </c>
      <c r="F431" s="174">
        <v>6.1199999999999997E-2</v>
      </c>
      <c r="G431" s="63" t="s">
        <v>852</v>
      </c>
      <c r="H431" s="169" t="str">
        <f>IFERROR(INDEX(REALDATA!$C$2:$C$1048576,MATCH(G431,REALDATA!$B$2:$B$1048576,0)),"")</f>
        <v>115/PA</v>
      </c>
      <c r="I431" s="63" t="s">
        <v>853</v>
      </c>
      <c r="J431" s="169" t="s">
        <v>387</v>
      </c>
      <c r="K431" s="63" t="s">
        <v>861</v>
      </c>
      <c r="L431" s="63"/>
      <c r="M431" s="63"/>
      <c r="N431" s="169"/>
      <c r="O431" s="174" t="str">
        <f t="shared" si="7"/>
        <v/>
      </c>
      <c r="P431" s="169"/>
    </row>
    <row r="432" spans="1:16" x14ac:dyDescent="0.25">
      <c r="A432" s="169">
        <v>431</v>
      </c>
      <c r="B432" s="170">
        <v>46316</v>
      </c>
      <c r="C432" s="171" t="s">
        <v>15</v>
      </c>
      <c r="D432" s="169">
        <v>3.5</v>
      </c>
      <c r="E432" s="173">
        <v>18</v>
      </c>
      <c r="F432" s="174">
        <v>0.154</v>
      </c>
      <c r="G432" s="63" t="s">
        <v>852</v>
      </c>
      <c r="H432" s="169" t="str">
        <f>IFERROR(INDEX(REALDATA!$C$2:$C$1048576,MATCH(G432,REALDATA!$B$2:$B$1048576,0)),"")</f>
        <v>115/PA</v>
      </c>
      <c r="I432" s="63" t="s">
        <v>853</v>
      </c>
      <c r="J432" s="169" t="s">
        <v>387</v>
      </c>
      <c r="K432" s="63" t="s">
        <v>863</v>
      </c>
      <c r="L432" s="63"/>
      <c r="M432" s="63"/>
      <c r="N432" s="169"/>
      <c r="O432" s="174" t="str">
        <f t="shared" si="7"/>
        <v/>
      </c>
      <c r="P432" s="169"/>
    </row>
    <row r="433" spans="1:16" x14ac:dyDescent="0.25">
      <c r="A433" s="169">
        <v>432</v>
      </c>
      <c r="B433" s="170">
        <v>46316</v>
      </c>
      <c r="C433" s="171" t="s">
        <v>15</v>
      </c>
      <c r="D433" s="169">
        <v>3</v>
      </c>
      <c r="E433" s="173">
        <v>21</v>
      </c>
      <c r="F433" s="174">
        <v>0.15606</v>
      </c>
      <c r="G433" s="63" t="s">
        <v>852</v>
      </c>
      <c r="H433" s="169" t="str">
        <f>IFERROR(INDEX(REALDATA!$C$2:$C$1048576,MATCH(G433,REALDATA!$B$2:$B$1048576,0)),"")</f>
        <v>115/PA</v>
      </c>
      <c r="I433" s="63" t="s">
        <v>853</v>
      </c>
      <c r="J433" s="169" t="s">
        <v>387</v>
      </c>
      <c r="K433" s="63" t="s">
        <v>863</v>
      </c>
      <c r="L433" s="63"/>
      <c r="M433" s="63"/>
      <c r="N433" s="169"/>
      <c r="O433" s="174" t="str">
        <f t="shared" si="7"/>
        <v/>
      </c>
      <c r="P433" s="169"/>
    </row>
    <row r="434" spans="1:16" x14ac:dyDescent="0.25">
      <c r="A434" s="169">
        <v>433</v>
      </c>
      <c r="B434" s="170">
        <v>46316</v>
      </c>
      <c r="C434" s="171" t="s">
        <v>15</v>
      </c>
      <c r="D434" s="169">
        <v>3</v>
      </c>
      <c r="E434" s="173">
        <v>20</v>
      </c>
      <c r="F434" s="174">
        <v>0.11645999999999999</v>
      </c>
      <c r="G434" s="63" t="s">
        <v>852</v>
      </c>
      <c r="H434" s="169" t="str">
        <f>IFERROR(INDEX(REALDATA!$C$2:$C$1048576,MATCH(G434,REALDATA!$B$2:$B$1048576,0)),"")</f>
        <v>115/PA</v>
      </c>
      <c r="I434" s="63" t="s">
        <v>853</v>
      </c>
      <c r="J434" s="169" t="s">
        <v>387</v>
      </c>
      <c r="K434" s="63" t="s">
        <v>863</v>
      </c>
      <c r="L434" s="63"/>
      <c r="M434" s="63"/>
      <c r="N434" s="169"/>
      <c r="O434" s="174" t="str">
        <f t="shared" si="7"/>
        <v/>
      </c>
      <c r="P434" s="169"/>
    </row>
    <row r="435" spans="1:16" x14ac:dyDescent="0.25">
      <c r="A435" s="169">
        <v>434</v>
      </c>
      <c r="B435" s="170">
        <v>46317</v>
      </c>
      <c r="C435" s="171" t="s">
        <v>15</v>
      </c>
      <c r="D435" s="169">
        <v>4.5</v>
      </c>
      <c r="E435" s="173">
        <v>33</v>
      </c>
      <c r="F435" s="174">
        <v>0.30928499999999998</v>
      </c>
      <c r="G435" s="63" t="s">
        <v>852</v>
      </c>
      <c r="H435" s="169" t="str">
        <f>IFERROR(INDEX(REALDATA!$C$2:$C$1048576,MATCH(G435,REALDATA!$B$2:$B$1048576,0)),"")</f>
        <v>115/PA</v>
      </c>
      <c r="I435" s="63" t="s">
        <v>853</v>
      </c>
      <c r="J435" s="169" t="s">
        <v>387</v>
      </c>
      <c r="K435" s="63" t="s">
        <v>864</v>
      </c>
      <c r="L435" s="63"/>
      <c r="M435" s="63"/>
      <c r="N435" s="169"/>
      <c r="O435" s="174" t="str">
        <f t="shared" si="7"/>
        <v/>
      </c>
      <c r="P435" s="169"/>
    </row>
    <row r="436" spans="1:16" x14ac:dyDescent="0.25">
      <c r="A436" s="169">
        <v>435</v>
      </c>
      <c r="B436" s="170">
        <v>46317</v>
      </c>
      <c r="C436" s="171" t="s">
        <v>15</v>
      </c>
      <c r="D436" s="169">
        <v>4.5</v>
      </c>
      <c r="E436" s="173">
        <v>6</v>
      </c>
      <c r="F436" s="174">
        <v>7.9289999999999999E-2</v>
      </c>
      <c r="G436" s="63" t="s">
        <v>852</v>
      </c>
      <c r="H436" s="169" t="str">
        <f>IFERROR(INDEX(REALDATA!$C$2:$C$1048576,MATCH(G436,REALDATA!$B$2:$B$1048576,0)),"")</f>
        <v>115/PA</v>
      </c>
      <c r="I436" s="63" t="s">
        <v>853</v>
      </c>
      <c r="J436" s="169" t="s">
        <v>387</v>
      </c>
      <c r="K436" s="63" t="s">
        <v>864</v>
      </c>
      <c r="L436" s="63"/>
      <c r="M436" s="63"/>
      <c r="N436" s="169"/>
      <c r="O436" s="174" t="str">
        <f t="shared" si="7"/>
        <v/>
      </c>
      <c r="P436" s="169"/>
    </row>
    <row r="437" spans="1:16" x14ac:dyDescent="0.25">
      <c r="A437" s="169">
        <v>436</v>
      </c>
      <c r="B437" s="170">
        <v>46317</v>
      </c>
      <c r="C437" s="171" t="s">
        <v>15</v>
      </c>
      <c r="D437" s="169">
        <v>4</v>
      </c>
      <c r="E437" s="173">
        <v>4</v>
      </c>
      <c r="F437" s="174">
        <v>4.1680000000000002E-2</v>
      </c>
      <c r="G437" s="63" t="s">
        <v>852</v>
      </c>
      <c r="H437" s="169" t="str">
        <f>IFERROR(INDEX(REALDATA!$C$2:$C$1048576,MATCH(G437,REALDATA!$B$2:$B$1048576,0)),"")</f>
        <v>115/PA</v>
      </c>
      <c r="I437" s="63" t="s">
        <v>853</v>
      </c>
      <c r="J437" s="169" t="s">
        <v>387</v>
      </c>
      <c r="K437" s="63" t="s">
        <v>864</v>
      </c>
      <c r="L437" s="63"/>
      <c r="M437" s="63"/>
      <c r="N437" s="169"/>
      <c r="O437" s="174" t="str">
        <f t="shared" si="7"/>
        <v/>
      </c>
      <c r="P437" s="169"/>
    </row>
    <row r="438" spans="1:16" x14ac:dyDescent="0.25">
      <c r="A438" s="169">
        <v>437</v>
      </c>
      <c r="B438" s="170">
        <v>46317</v>
      </c>
      <c r="C438" s="171" t="s">
        <v>15</v>
      </c>
      <c r="D438" s="169">
        <v>5</v>
      </c>
      <c r="E438" s="173">
        <v>26</v>
      </c>
      <c r="F438" s="174">
        <v>0.26174500000000001</v>
      </c>
      <c r="G438" s="63" t="s">
        <v>852</v>
      </c>
      <c r="H438" s="169" t="str">
        <f>IFERROR(INDEX(REALDATA!$C$2:$C$1048576,MATCH(G438,REALDATA!$B$2:$B$1048576,0)),"")</f>
        <v>115/PA</v>
      </c>
      <c r="I438" s="63" t="s">
        <v>853</v>
      </c>
      <c r="J438" s="169" t="s">
        <v>387</v>
      </c>
      <c r="K438" s="63" t="s">
        <v>865</v>
      </c>
      <c r="L438" s="63"/>
      <c r="M438" s="63"/>
      <c r="N438" s="169"/>
      <c r="O438" s="174" t="str">
        <f t="shared" si="7"/>
        <v/>
      </c>
      <c r="P438" s="169"/>
    </row>
    <row r="439" spans="1:16" x14ac:dyDescent="0.25">
      <c r="A439" s="169">
        <v>438</v>
      </c>
      <c r="B439" s="170">
        <v>46317</v>
      </c>
      <c r="C439" s="171" t="s">
        <v>15</v>
      </c>
      <c r="D439" s="169">
        <v>5</v>
      </c>
      <c r="E439" s="173">
        <v>10</v>
      </c>
      <c r="F439" s="174">
        <v>9.1899999999999996E-2</v>
      </c>
      <c r="G439" s="63" t="s">
        <v>852</v>
      </c>
      <c r="H439" s="169" t="str">
        <f>IFERROR(INDEX(REALDATA!$C$2:$C$1048576,MATCH(G439,REALDATA!$B$2:$B$1048576,0)),"")</f>
        <v>115/PA</v>
      </c>
      <c r="I439" s="63" t="s">
        <v>853</v>
      </c>
      <c r="J439" s="169" t="s">
        <v>387</v>
      </c>
      <c r="K439" s="63" t="s">
        <v>864</v>
      </c>
      <c r="L439" s="63"/>
      <c r="M439" s="63"/>
      <c r="N439" s="169"/>
      <c r="O439" s="174" t="str">
        <f t="shared" si="7"/>
        <v/>
      </c>
      <c r="P439" s="169"/>
    </row>
    <row r="440" spans="1:16" x14ac:dyDescent="0.25">
      <c r="A440" s="169">
        <v>439</v>
      </c>
      <c r="B440" s="170">
        <v>46317</v>
      </c>
      <c r="C440" s="171" t="s">
        <v>15</v>
      </c>
      <c r="D440" s="169">
        <v>5.5</v>
      </c>
      <c r="E440" s="173">
        <v>24</v>
      </c>
      <c r="F440" s="174">
        <v>0.29496499999999998</v>
      </c>
      <c r="G440" s="63" t="s">
        <v>852</v>
      </c>
      <c r="H440" s="169" t="str">
        <f>IFERROR(INDEX(REALDATA!$C$2:$C$1048576,MATCH(G440,REALDATA!$B$2:$B$1048576,0)),"")</f>
        <v>115/PA</v>
      </c>
      <c r="I440" s="63" t="s">
        <v>853</v>
      </c>
      <c r="J440" s="169" t="s">
        <v>387</v>
      </c>
      <c r="K440" s="63" t="s">
        <v>864</v>
      </c>
      <c r="L440" s="63"/>
      <c r="M440" s="63"/>
      <c r="N440" s="169"/>
      <c r="O440" s="174" t="str">
        <f t="shared" si="7"/>
        <v/>
      </c>
      <c r="P440" s="169"/>
    </row>
    <row r="441" spans="1:16" x14ac:dyDescent="0.25">
      <c r="A441" s="169">
        <v>440</v>
      </c>
      <c r="B441" s="170">
        <v>46318</v>
      </c>
      <c r="C441" s="171" t="s">
        <v>15</v>
      </c>
      <c r="D441" s="169">
        <v>7.5</v>
      </c>
      <c r="E441" s="173">
        <v>25</v>
      </c>
      <c r="F441" s="174">
        <v>0.68062500000000004</v>
      </c>
      <c r="G441" s="63" t="s">
        <v>852</v>
      </c>
      <c r="H441" s="169" t="str">
        <f>IFERROR(INDEX(REALDATA!$C$2:$C$1048576,MATCH(G441,REALDATA!$B$2:$B$1048576,0)),"")</f>
        <v>115/PA</v>
      </c>
      <c r="I441" s="63" t="s">
        <v>853</v>
      </c>
      <c r="J441" s="169" t="s">
        <v>387</v>
      </c>
      <c r="K441" s="63" t="s">
        <v>866</v>
      </c>
      <c r="L441" s="63"/>
      <c r="M441" s="63"/>
      <c r="N441" s="169"/>
      <c r="O441" s="174" t="str">
        <f t="shared" si="7"/>
        <v/>
      </c>
      <c r="P441" s="169"/>
    </row>
    <row r="442" spans="1:16" x14ac:dyDescent="0.25">
      <c r="A442" s="169">
        <v>441</v>
      </c>
      <c r="B442" s="170">
        <v>46318</v>
      </c>
      <c r="C442" s="171" t="s">
        <v>15</v>
      </c>
      <c r="D442" s="169">
        <v>8</v>
      </c>
      <c r="E442" s="173">
        <v>9</v>
      </c>
      <c r="F442" s="174">
        <v>0.22136</v>
      </c>
      <c r="G442" s="63" t="s">
        <v>852</v>
      </c>
      <c r="H442" s="169" t="str">
        <f>IFERROR(INDEX(REALDATA!$C$2:$C$1048576,MATCH(G442,REALDATA!$B$2:$B$1048576,0)),"")</f>
        <v>115/PA</v>
      </c>
      <c r="I442" s="63" t="s">
        <v>853</v>
      </c>
      <c r="J442" s="169" t="s">
        <v>387</v>
      </c>
      <c r="K442" s="63" t="s">
        <v>866</v>
      </c>
      <c r="L442" s="63"/>
      <c r="M442" s="63"/>
      <c r="N442" s="169"/>
      <c r="O442" s="174" t="str">
        <f t="shared" si="7"/>
        <v/>
      </c>
      <c r="P442" s="169"/>
    </row>
    <row r="443" spans="1:16" x14ac:dyDescent="0.25">
      <c r="A443" s="169"/>
      <c r="B443" s="170"/>
      <c r="C443" s="171"/>
      <c r="D443" s="169"/>
      <c r="E443" s="173"/>
      <c r="F443" s="174"/>
      <c r="G443" s="63"/>
      <c r="H443" s="169"/>
      <c r="I443" s="63"/>
      <c r="J443" s="169"/>
      <c r="K443" s="63"/>
      <c r="L443" s="63"/>
      <c r="M443" s="63"/>
      <c r="N443" s="169"/>
      <c r="O443" s="174"/>
      <c r="P443" s="169"/>
    </row>
    <row r="444" spans="1:16" x14ac:dyDescent="0.25">
      <c r="A444" s="169"/>
      <c r="B444" s="170"/>
      <c r="C444" s="171"/>
      <c r="D444" s="169"/>
      <c r="E444" s="173"/>
      <c r="F444" s="174"/>
      <c r="G444" s="63"/>
      <c r="H444" s="169"/>
      <c r="I444" s="63"/>
      <c r="J444" s="169"/>
      <c r="K444" s="63"/>
      <c r="L444" s="63"/>
      <c r="M444" s="63"/>
      <c r="N444" s="169"/>
      <c r="O444" s="174"/>
      <c r="P444" s="169"/>
    </row>
    <row r="445" spans="1:16" x14ac:dyDescent="0.25">
      <c r="A445" s="169"/>
      <c r="B445" s="170"/>
      <c r="C445" s="171"/>
      <c r="D445" s="169"/>
      <c r="E445" s="173"/>
      <c r="F445" s="174"/>
      <c r="G445" s="63"/>
      <c r="H445" s="169"/>
      <c r="I445" s="63"/>
      <c r="J445" s="169"/>
      <c r="K445" s="63"/>
      <c r="L445" s="63"/>
      <c r="M445" s="63"/>
      <c r="N445" s="169"/>
      <c r="O445" s="174"/>
      <c r="P445" s="169"/>
    </row>
    <row r="446" spans="1:16" x14ac:dyDescent="0.25">
      <c r="A446" s="169"/>
      <c r="B446" s="170"/>
      <c r="C446" s="171"/>
      <c r="D446" s="169"/>
      <c r="E446" s="173"/>
      <c r="F446" s="174"/>
      <c r="G446" s="63"/>
      <c r="H446" s="169"/>
      <c r="I446" s="63"/>
      <c r="J446" s="169"/>
      <c r="K446" s="63"/>
      <c r="L446" s="63"/>
      <c r="M446" s="63"/>
      <c r="N446" s="169"/>
      <c r="O446" s="174"/>
      <c r="P446" s="169"/>
    </row>
    <row r="447" spans="1:16" x14ac:dyDescent="0.25">
      <c r="A447" s="169"/>
      <c r="B447" s="170"/>
      <c r="C447" s="171"/>
      <c r="D447" s="169"/>
      <c r="E447" s="173"/>
      <c r="F447" s="174"/>
      <c r="G447" s="63"/>
      <c r="H447" s="169"/>
      <c r="I447" s="63"/>
      <c r="J447" s="169"/>
      <c r="K447" s="63"/>
      <c r="L447" s="63"/>
      <c r="M447" s="63"/>
      <c r="N447" s="169"/>
      <c r="O447" s="174"/>
      <c r="P447" s="169"/>
    </row>
    <row r="448" spans="1:16" x14ac:dyDescent="0.25">
      <c r="A448" s="169"/>
      <c r="B448" s="170"/>
      <c r="C448" s="171"/>
      <c r="D448" s="169"/>
      <c r="E448" s="173"/>
      <c r="F448" s="174"/>
      <c r="G448" s="63"/>
      <c r="H448" s="169"/>
      <c r="I448" s="63"/>
      <c r="J448" s="169"/>
      <c r="K448" s="63"/>
      <c r="L448" s="63"/>
      <c r="M448" s="63"/>
      <c r="N448" s="169"/>
      <c r="O448" s="174"/>
      <c r="P448" s="169"/>
    </row>
    <row r="449" spans="1:16" x14ac:dyDescent="0.25">
      <c r="A449" s="169"/>
      <c r="B449" s="170"/>
      <c r="C449" s="171"/>
      <c r="D449" s="169"/>
      <c r="E449" s="173"/>
      <c r="F449" s="174"/>
      <c r="G449" s="63"/>
      <c r="H449" s="169"/>
      <c r="I449" s="63"/>
      <c r="J449" s="169"/>
      <c r="K449" s="63"/>
      <c r="L449" s="63"/>
      <c r="M449" s="63"/>
      <c r="N449" s="169"/>
      <c r="O449" s="174"/>
      <c r="P449" s="169"/>
    </row>
    <row r="450" spans="1:16" x14ac:dyDescent="0.25">
      <c r="A450" s="169"/>
      <c r="B450" s="170"/>
      <c r="C450" s="171"/>
      <c r="D450" s="169"/>
      <c r="E450" s="173"/>
      <c r="F450" s="174"/>
      <c r="G450" s="63"/>
      <c r="H450" s="169"/>
      <c r="I450" s="63"/>
      <c r="J450" s="169"/>
      <c r="K450" s="63"/>
      <c r="L450" s="63"/>
      <c r="M450" s="63"/>
      <c r="N450" s="169"/>
      <c r="O450" s="174"/>
      <c r="P450" s="169"/>
    </row>
    <row r="451" spans="1:16" x14ac:dyDescent="0.25">
      <c r="A451" s="169"/>
      <c r="B451" s="170"/>
      <c r="C451" s="171"/>
      <c r="D451" s="169"/>
      <c r="E451" s="173"/>
      <c r="F451" s="174"/>
      <c r="G451" s="63"/>
      <c r="H451" s="169"/>
      <c r="I451" s="63"/>
      <c r="J451" s="169"/>
      <c r="K451" s="63"/>
      <c r="L451" s="63"/>
      <c r="M451" s="63"/>
      <c r="N451" s="169"/>
      <c r="O451" s="174"/>
      <c r="P451" s="169"/>
    </row>
    <row r="452" spans="1:16" x14ac:dyDescent="0.25">
      <c r="A452" s="169"/>
      <c r="B452" s="170"/>
      <c r="C452" s="171"/>
      <c r="D452" s="169"/>
      <c r="E452" s="173"/>
      <c r="F452" s="174"/>
      <c r="G452" s="63"/>
      <c r="H452" s="169"/>
      <c r="I452" s="63"/>
      <c r="J452" s="169"/>
      <c r="K452" s="63"/>
      <c r="L452" s="63"/>
      <c r="M452" s="63"/>
      <c r="N452" s="169"/>
      <c r="O452" s="174"/>
      <c r="P452" s="169"/>
    </row>
  </sheetData>
  <mergeCells count="7">
    <mergeCell ref="A10:C10"/>
    <mergeCell ref="A4:C4"/>
    <mergeCell ref="A5:C5"/>
    <mergeCell ref="A8:C8"/>
    <mergeCell ref="A6:C6"/>
    <mergeCell ref="A9:C9"/>
    <mergeCell ref="A7:C7"/>
  </mergeCells>
  <pageMargins left="0.75" right="0.75" top="1" bottom="1" header="0.511811023622047" footer="0.511811023622047"/>
  <pageSetup paperSize="9" fitToHeight="0"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2"/>
  <sheetViews>
    <sheetView showGridLines="0" topLeftCell="C1" zoomScale="70" zoomScaleNormal="70" workbookViewId="0">
      <pane ySplit="3" topLeftCell="A58" activePane="bottomLeft" state="frozen"/>
      <selection activeCell="D1" sqref="D1"/>
      <selection pane="bottomLeft" activeCell="F62" sqref="F62"/>
    </sheetView>
  </sheetViews>
  <sheetFormatPr defaultRowHeight="15" x14ac:dyDescent="0.25"/>
  <cols>
    <col min="1" max="1" width="6.140625" customWidth="1"/>
    <col min="2" max="2" width="12.42578125" customWidth="1"/>
    <col min="4" max="4" width="12.42578125" customWidth="1"/>
    <col min="5" max="5" width="11.140625" customWidth="1"/>
    <col min="6" max="6" width="13.5703125" customWidth="1"/>
    <col min="7" max="7" width="28.140625" bestFit="1" customWidth="1"/>
    <col min="8" max="8" width="14.85546875" customWidth="1"/>
    <col min="9" max="9" width="49.5703125" customWidth="1"/>
    <col min="10" max="10" width="13.5703125" customWidth="1"/>
    <col min="11" max="11" width="34.7109375" customWidth="1"/>
  </cols>
  <sheetData>
    <row r="1" spans="1:11" x14ac:dyDescent="0.25">
      <c r="A1" s="188" t="s">
        <v>867</v>
      </c>
      <c r="B1" s="265">
        <v>46266</v>
      </c>
      <c r="C1" s="188" t="s">
        <v>868</v>
      </c>
      <c r="D1" s="265">
        <v>46312</v>
      </c>
      <c r="E1" s="189" t="s">
        <v>30</v>
      </c>
      <c r="F1" s="208">
        <f>SUM(F4:F82)</f>
        <v>19.656374999999997</v>
      </c>
      <c r="G1" s="187"/>
      <c r="H1" s="187"/>
      <c r="I1" s="187"/>
      <c r="J1" s="187"/>
      <c r="K1" s="187"/>
    </row>
    <row r="3" spans="1:11" ht="28.5" customHeight="1" x14ac:dyDescent="0.25">
      <c r="A3" s="209" t="s">
        <v>74</v>
      </c>
      <c r="B3" s="209" t="s">
        <v>351</v>
      </c>
      <c r="C3" s="210" t="s">
        <v>55</v>
      </c>
      <c r="D3" s="209" t="s">
        <v>53</v>
      </c>
      <c r="E3" s="209" t="s">
        <v>352</v>
      </c>
      <c r="F3" s="211" t="s">
        <v>33</v>
      </c>
      <c r="G3" s="212" t="s">
        <v>377</v>
      </c>
      <c r="H3" s="210" t="s">
        <v>378</v>
      </c>
      <c r="I3" s="210" t="s">
        <v>379</v>
      </c>
      <c r="J3" s="210" t="s">
        <v>380</v>
      </c>
      <c r="K3" s="210" t="s">
        <v>82</v>
      </c>
    </row>
    <row r="4" spans="1:11" x14ac:dyDescent="0.25">
      <c r="A4" s="204">
        <v>1</v>
      </c>
      <c r="B4" s="266">
        <v>46266</v>
      </c>
      <c r="C4" s="187" t="s">
        <v>13</v>
      </c>
      <c r="D4" s="205">
        <v>6</v>
      </c>
      <c r="E4" s="206">
        <v>12</v>
      </c>
      <c r="F4" s="207">
        <v>0.53568000000000005</v>
      </c>
      <c r="G4" s="213" t="s">
        <v>763</v>
      </c>
      <c r="H4" s="187" t="s">
        <v>837</v>
      </c>
      <c r="I4" s="187" t="s">
        <v>805</v>
      </c>
      <c r="J4" s="187" t="s">
        <v>387</v>
      </c>
      <c r="K4" s="187" t="s">
        <v>694</v>
      </c>
    </row>
    <row r="5" spans="1:11" x14ac:dyDescent="0.25">
      <c r="A5" s="204">
        <f t="shared" ref="A5:A36" si="0">A4+1</f>
        <v>2</v>
      </c>
      <c r="B5" s="266">
        <v>46266</v>
      </c>
      <c r="C5" s="187" t="s">
        <v>13</v>
      </c>
      <c r="D5" s="205">
        <v>8</v>
      </c>
      <c r="E5" s="206">
        <v>12</v>
      </c>
      <c r="F5" s="207">
        <v>0.53568000000000005</v>
      </c>
      <c r="G5" s="213" t="s">
        <v>763</v>
      </c>
      <c r="H5" s="187" t="s">
        <v>837</v>
      </c>
      <c r="I5" s="187" t="s">
        <v>805</v>
      </c>
      <c r="J5" s="187" t="s">
        <v>387</v>
      </c>
      <c r="K5" s="187" t="s">
        <v>694</v>
      </c>
    </row>
    <row r="6" spans="1:11" x14ac:dyDescent="0.25">
      <c r="A6" s="204">
        <f t="shared" si="0"/>
        <v>3</v>
      </c>
      <c r="B6" s="266">
        <v>46266</v>
      </c>
      <c r="C6" s="187" t="s">
        <v>15</v>
      </c>
      <c r="D6" s="205">
        <v>6</v>
      </c>
      <c r="E6" s="206">
        <v>12</v>
      </c>
      <c r="F6" s="207">
        <v>0.53568000000000005</v>
      </c>
      <c r="G6" s="213" t="s">
        <v>763</v>
      </c>
      <c r="H6" s="187" t="s">
        <v>837</v>
      </c>
      <c r="I6" s="187" t="s">
        <v>722</v>
      </c>
      <c r="J6" s="187" t="s">
        <v>387</v>
      </c>
      <c r="K6" s="187" t="s">
        <v>774</v>
      </c>
    </row>
    <row r="7" spans="1:11" x14ac:dyDescent="0.25">
      <c r="A7" s="204">
        <f t="shared" si="0"/>
        <v>4</v>
      </c>
      <c r="B7" s="266">
        <v>46266</v>
      </c>
      <c r="C7" s="187" t="s">
        <v>15</v>
      </c>
      <c r="D7" s="205">
        <v>8</v>
      </c>
      <c r="E7" s="206">
        <v>12</v>
      </c>
      <c r="F7" s="207">
        <v>0.53568000000000005</v>
      </c>
      <c r="G7" s="213" t="s">
        <v>763</v>
      </c>
      <c r="H7" s="187" t="s">
        <v>837</v>
      </c>
      <c r="I7" s="187" t="s">
        <v>722</v>
      </c>
      <c r="J7" s="187" t="s">
        <v>387</v>
      </c>
      <c r="K7" s="187" t="s">
        <v>774</v>
      </c>
    </row>
    <row r="8" spans="1:11" x14ac:dyDescent="0.25">
      <c r="A8" s="204">
        <f t="shared" si="0"/>
        <v>5</v>
      </c>
      <c r="B8" s="266">
        <v>46268</v>
      </c>
      <c r="C8" s="187" t="s">
        <v>13</v>
      </c>
      <c r="D8" s="205">
        <v>4.5</v>
      </c>
      <c r="E8" s="206">
        <v>9</v>
      </c>
      <c r="F8" s="207">
        <v>0.13788</v>
      </c>
      <c r="G8" s="213" t="s">
        <v>803</v>
      </c>
      <c r="H8" s="187" t="s">
        <v>869</v>
      </c>
      <c r="I8" s="187" t="s">
        <v>804</v>
      </c>
      <c r="J8" s="187" t="s">
        <v>387</v>
      </c>
      <c r="K8" s="187" t="s">
        <v>694</v>
      </c>
    </row>
    <row r="9" spans="1:11" x14ac:dyDescent="0.25">
      <c r="A9" s="204">
        <f t="shared" si="0"/>
        <v>6</v>
      </c>
      <c r="B9" s="266">
        <v>46268</v>
      </c>
      <c r="C9" s="187" t="s">
        <v>13</v>
      </c>
      <c r="D9" s="205">
        <v>4.5</v>
      </c>
      <c r="E9" s="206">
        <v>10</v>
      </c>
      <c r="F9" s="207">
        <v>0.1467</v>
      </c>
      <c r="G9" s="213" t="s">
        <v>803</v>
      </c>
      <c r="H9" s="187" t="s">
        <v>869</v>
      </c>
      <c r="I9" s="187" t="s">
        <v>806</v>
      </c>
      <c r="J9" s="187" t="s">
        <v>387</v>
      </c>
      <c r="K9" s="187" t="s">
        <v>694</v>
      </c>
    </row>
    <row r="10" spans="1:11" x14ac:dyDescent="0.25">
      <c r="A10" s="204">
        <f t="shared" si="0"/>
        <v>7</v>
      </c>
      <c r="B10" s="266">
        <v>46268</v>
      </c>
      <c r="C10" s="187" t="s">
        <v>13</v>
      </c>
      <c r="D10" s="205">
        <v>4.5</v>
      </c>
      <c r="E10" s="206">
        <v>7</v>
      </c>
      <c r="F10" s="207">
        <v>0.10237499999999999</v>
      </c>
      <c r="G10" s="213" t="s">
        <v>807</v>
      </c>
      <c r="H10" s="187" t="s">
        <v>692</v>
      </c>
      <c r="I10" s="187" t="s">
        <v>797</v>
      </c>
      <c r="J10" s="187" t="s">
        <v>387</v>
      </c>
      <c r="K10" s="187" t="s">
        <v>694</v>
      </c>
    </row>
    <row r="11" spans="1:11" x14ac:dyDescent="0.25">
      <c r="A11" s="204">
        <f t="shared" si="0"/>
        <v>8</v>
      </c>
      <c r="B11" s="266">
        <v>46268</v>
      </c>
      <c r="C11" s="187" t="s">
        <v>15</v>
      </c>
      <c r="D11" s="205">
        <v>4.5</v>
      </c>
      <c r="E11" s="206">
        <v>13</v>
      </c>
      <c r="F11" s="207">
        <v>0.23182</v>
      </c>
      <c r="G11" s="213" t="s">
        <v>763</v>
      </c>
      <c r="H11" s="187" t="s">
        <v>837</v>
      </c>
      <c r="I11" s="187" t="s">
        <v>722</v>
      </c>
      <c r="J11" s="187" t="s">
        <v>387</v>
      </c>
      <c r="K11" s="187" t="s">
        <v>774</v>
      </c>
    </row>
    <row r="12" spans="1:11" x14ac:dyDescent="0.25">
      <c r="A12" s="204">
        <f t="shared" si="0"/>
        <v>9</v>
      </c>
      <c r="B12" s="266">
        <v>46270</v>
      </c>
      <c r="C12" s="187" t="s">
        <v>13</v>
      </c>
      <c r="D12" s="205">
        <v>4.5</v>
      </c>
      <c r="E12" s="206">
        <v>60</v>
      </c>
      <c r="F12" s="207">
        <v>1.0263150000000001</v>
      </c>
      <c r="G12" s="213" t="s">
        <v>808</v>
      </c>
      <c r="H12" s="187" t="s">
        <v>692</v>
      </c>
      <c r="I12" s="187" t="s">
        <v>789</v>
      </c>
      <c r="J12" s="187" t="s">
        <v>387</v>
      </c>
      <c r="K12" s="187" t="s">
        <v>694</v>
      </c>
    </row>
    <row r="13" spans="1:11" x14ac:dyDescent="0.25">
      <c r="A13" s="204">
        <f t="shared" si="0"/>
        <v>10</v>
      </c>
      <c r="B13" s="266">
        <v>46270</v>
      </c>
      <c r="C13" s="187" t="s">
        <v>13</v>
      </c>
      <c r="D13" s="205">
        <v>4.5</v>
      </c>
      <c r="E13" s="206">
        <v>10</v>
      </c>
      <c r="F13" s="207">
        <v>0.13828499999999999</v>
      </c>
      <c r="G13" s="213" t="s">
        <v>803</v>
      </c>
      <c r="H13" s="187" t="s">
        <v>869</v>
      </c>
      <c r="I13" s="187" t="s">
        <v>809</v>
      </c>
      <c r="J13" s="187" t="s">
        <v>387</v>
      </c>
      <c r="K13" s="187" t="s">
        <v>694</v>
      </c>
    </row>
    <row r="14" spans="1:11" x14ac:dyDescent="0.25">
      <c r="A14" s="204">
        <f t="shared" si="0"/>
        <v>11</v>
      </c>
      <c r="B14" s="266">
        <v>46272</v>
      </c>
      <c r="C14" s="187" t="s">
        <v>13</v>
      </c>
      <c r="D14" s="205">
        <v>4.5</v>
      </c>
      <c r="E14" s="206">
        <v>27</v>
      </c>
      <c r="F14" s="207">
        <v>0.40579999999999999</v>
      </c>
      <c r="G14" s="213" t="s">
        <v>808</v>
      </c>
      <c r="H14" s="187" t="s">
        <v>692</v>
      </c>
      <c r="I14" s="187" t="s">
        <v>789</v>
      </c>
      <c r="J14" s="187" t="s">
        <v>387</v>
      </c>
      <c r="K14" s="187" t="s">
        <v>694</v>
      </c>
    </row>
    <row r="15" spans="1:11" x14ac:dyDescent="0.25">
      <c r="A15" s="204">
        <f t="shared" si="0"/>
        <v>12</v>
      </c>
      <c r="B15" s="266">
        <v>46272</v>
      </c>
      <c r="C15" s="187" t="s">
        <v>13</v>
      </c>
      <c r="D15" s="205">
        <v>8</v>
      </c>
      <c r="E15" s="206">
        <v>32</v>
      </c>
      <c r="F15" s="207">
        <v>1.0631999999999999</v>
      </c>
      <c r="G15" s="213" t="s">
        <v>808</v>
      </c>
      <c r="H15" s="187" t="s">
        <v>692</v>
      </c>
      <c r="I15" s="187" t="s">
        <v>789</v>
      </c>
      <c r="J15" s="187" t="s">
        <v>387</v>
      </c>
      <c r="K15" s="187" t="s">
        <v>694</v>
      </c>
    </row>
    <row r="16" spans="1:11" x14ac:dyDescent="0.25">
      <c r="A16" s="204">
        <f t="shared" si="0"/>
        <v>13</v>
      </c>
      <c r="B16" s="266">
        <v>46272</v>
      </c>
      <c r="C16" s="187" t="s">
        <v>13</v>
      </c>
      <c r="D16" s="205">
        <v>7</v>
      </c>
      <c r="E16" s="206">
        <v>6</v>
      </c>
      <c r="F16" s="207">
        <v>0.14574000000000001</v>
      </c>
      <c r="G16" s="213" t="s">
        <v>808</v>
      </c>
      <c r="H16" s="187" t="s">
        <v>692</v>
      </c>
      <c r="I16" s="187" t="s">
        <v>789</v>
      </c>
      <c r="J16" s="187" t="s">
        <v>387</v>
      </c>
      <c r="K16" s="187" t="s">
        <v>694</v>
      </c>
    </row>
    <row r="17" spans="1:11" x14ac:dyDescent="0.25">
      <c r="A17" s="204">
        <f t="shared" si="0"/>
        <v>14</v>
      </c>
      <c r="B17" s="266">
        <v>46273</v>
      </c>
      <c r="C17" s="187" t="s">
        <v>13</v>
      </c>
      <c r="D17" s="205">
        <v>8</v>
      </c>
      <c r="E17" s="206">
        <v>4</v>
      </c>
      <c r="F17" s="207">
        <v>0.15040000000000001</v>
      </c>
      <c r="G17" s="213" t="s">
        <v>808</v>
      </c>
      <c r="H17" s="187" t="s">
        <v>692</v>
      </c>
      <c r="I17" s="187" t="s">
        <v>789</v>
      </c>
      <c r="J17" s="187" t="s">
        <v>387</v>
      </c>
      <c r="K17" s="187" t="s">
        <v>694</v>
      </c>
    </row>
    <row r="18" spans="1:11" x14ac:dyDescent="0.25">
      <c r="A18" s="204">
        <f t="shared" si="0"/>
        <v>15</v>
      </c>
      <c r="B18" s="266">
        <v>46275</v>
      </c>
      <c r="C18" s="187" t="s">
        <v>15</v>
      </c>
      <c r="D18" s="205">
        <v>5.5</v>
      </c>
      <c r="E18" s="206">
        <v>4</v>
      </c>
      <c r="F18" s="207">
        <v>3.7949999999999998E-2</v>
      </c>
      <c r="G18" s="213" t="s">
        <v>763</v>
      </c>
      <c r="H18" s="187" t="s">
        <v>837</v>
      </c>
      <c r="I18" s="187" t="s">
        <v>824</v>
      </c>
      <c r="J18" s="187" t="s">
        <v>387</v>
      </c>
      <c r="K18" s="187" t="s">
        <v>774</v>
      </c>
    </row>
    <row r="19" spans="1:11" x14ac:dyDescent="0.25">
      <c r="A19" s="204">
        <f t="shared" si="0"/>
        <v>16</v>
      </c>
      <c r="B19" s="266">
        <v>46277</v>
      </c>
      <c r="C19" s="187" t="s">
        <v>13</v>
      </c>
      <c r="D19" s="205">
        <v>3.5</v>
      </c>
      <c r="E19" s="206">
        <v>3</v>
      </c>
      <c r="F19" s="207">
        <v>3.6540000000000003E-2</v>
      </c>
      <c r="G19" s="213" t="s">
        <v>771</v>
      </c>
      <c r="H19" s="187" t="s">
        <v>772</v>
      </c>
      <c r="I19" s="187" t="s">
        <v>810</v>
      </c>
      <c r="J19" s="187" t="s">
        <v>771</v>
      </c>
      <c r="K19" s="187" t="s">
        <v>694</v>
      </c>
    </row>
    <row r="20" spans="1:11" x14ac:dyDescent="0.25">
      <c r="A20" s="204">
        <f t="shared" si="0"/>
        <v>17</v>
      </c>
      <c r="B20" s="266">
        <v>46277</v>
      </c>
      <c r="C20" s="187" t="s">
        <v>13</v>
      </c>
      <c r="D20" s="205">
        <v>3.5</v>
      </c>
      <c r="E20" s="206">
        <v>4</v>
      </c>
      <c r="F20" s="207">
        <v>3.9899999999999998E-2</v>
      </c>
      <c r="G20" s="213" t="s">
        <v>771</v>
      </c>
      <c r="H20" s="187" t="s">
        <v>772</v>
      </c>
      <c r="I20" s="187" t="s">
        <v>811</v>
      </c>
      <c r="J20" s="187" t="s">
        <v>771</v>
      </c>
      <c r="K20" s="187" t="s">
        <v>694</v>
      </c>
    </row>
    <row r="21" spans="1:11" x14ac:dyDescent="0.25">
      <c r="A21" s="204">
        <f t="shared" si="0"/>
        <v>18</v>
      </c>
      <c r="B21" s="266">
        <v>46279</v>
      </c>
      <c r="C21" s="187" t="s">
        <v>15</v>
      </c>
      <c r="D21" s="205">
        <v>5</v>
      </c>
      <c r="E21" s="206">
        <v>19</v>
      </c>
      <c r="F21" s="207">
        <v>0.36894999999999989</v>
      </c>
      <c r="G21" s="267" t="s">
        <v>825</v>
      </c>
      <c r="H21" s="268" t="s">
        <v>826</v>
      </c>
      <c r="I21" s="187" t="s">
        <v>722</v>
      </c>
      <c r="J21" s="187" t="s">
        <v>387</v>
      </c>
      <c r="K21" s="187" t="s">
        <v>774</v>
      </c>
    </row>
    <row r="22" spans="1:11" x14ac:dyDescent="0.25">
      <c r="A22" s="204">
        <f t="shared" si="0"/>
        <v>19</v>
      </c>
      <c r="B22" s="266">
        <v>46279</v>
      </c>
      <c r="C22" s="187" t="s">
        <v>15</v>
      </c>
      <c r="D22" s="205">
        <v>8</v>
      </c>
      <c r="E22" s="206">
        <v>17</v>
      </c>
      <c r="F22" s="207">
        <v>0.55896000000000012</v>
      </c>
      <c r="G22" s="267" t="s">
        <v>825</v>
      </c>
      <c r="H22" s="268" t="s">
        <v>826</v>
      </c>
      <c r="I22" s="187" t="s">
        <v>722</v>
      </c>
      <c r="J22" s="187" t="s">
        <v>387</v>
      </c>
      <c r="K22" s="187" t="s">
        <v>774</v>
      </c>
    </row>
    <row r="23" spans="1:11" x14ac:dyDescent="0.25">
      <c r="A23" s="204">
        <f t="shared" si="0"/>
        <v>20</v>
      </c>
      <c r="B23" s="266">
        <v>46279</v>
      </c>
      <c r="C23" s="187" t="s">
        <v>15</v>
      </c>
      <c r="D23" s="205">
        <v>4.5</v>
      </c>
      <c r="E23" s="206">
        <v>2</v>
      </c>
      <c r="F23" s="207">
        <v>5.357E-2</v>
      </c>
      <c r="G23" s="267" t="s">
        <v>825</v>
      </c>
      <c r="H23" s="268" t="s">
        <v>826</v>
      </c>
      <c r="I23" s="187" t="s">
        <v>722</v>
      </c>
      <c r="J23" s="187" t="s">
        <v>387</v>
      </c>
      <c r="K23" s="187" t="s">
        <v>774</v>
      </c>
    </row>
    <row r="24" spans="1:11" x14ac:dyDescent="0.25">
      <c r="A24" s="204">
        <f t="shared" si="0"/>
        <v>21</v>
      </c>
      <c r="B24" s="266">
        <v>46279</v>
      </c>
      <c r="C24" s="187" t="s">
        <v>15</v>
      </c>
      <c r="D24" s="205">
        <v>5.5</v>
      </c>
      <c r="E24" s="206">
        <v>2</v>
      </c>
      <c r="F24" s="207">
        <v>2.7900000000000001E-2</v>
      </c>
      <c r="G24" s="267" t="s">
        <v>825</v>
      </c>
      <c r="H24" s="268" t="s">
        <v>826</v>
      </c>
      <c r="I24" s="187" t="s">
        <v>722</v>
      </c>
      <c r="J24" s="187" t="s">
        <v>387</v>
      </c>
      <c r="K24" s="187" t="s">
        <v>774</v>
      </c>
    </row>
    <row r="25" spans="1:11" x14ac:dyDescent="0.25">
      <c r="A25" s="204">
        <f t="shared" si="0"/>
        <v>22</v>
      </c>
      <c r="B25" s="266">
        <v>46280</v>
      </c>
      <c r="C25" s="187" t="s">
        <v>13</v>
      </c>
      <c r="D25" s="205">
        <v>3.5</v>
      </c>
      <c r="E25" s="206">
        <v>14</v>
      </c>
      <c r="F25" s="207">
        <v>0.164185</v>
      </c>
      <c r="G25" s="213" t="s">
        <v>775</v>
      </c>
      <c r="H25" s="187" t="s">
        <v>776</v>
      </c>
      <c r="I25" s="187" t="s">
        <v>797</v>
      </c>
      <c r="J25" s="187" t="s">
        <v>387</v>
      </c>
      <c r="K25" s="187" t="s">
        <v>694</v>
      </c>
    </row>
    <row r="26" spans="1:11" x14ac:dyDescent="0.25">
      <c r="A26" s="204">
        <f t="shared" si="0"/>
        <v>23</v>
      </c>
      <c r="B26" s="266">
        <v>46280</v>
      </c>
      <c r="C26" s="187" t="s">
        <v>15</v>
      </c>
      <c r="D26" s="205">
        <v>8</v>
      </c>
      <c r="E26" s="206">
        <v>14</v>
      </c>
      <c r="F26" s="207">
        <v>0.37791999999999998</v>
      </c>
      <c r="G26" s="213" t="s">
        <v>775</v>
      </c>
      <c r="H26" s="187" t="s">
        <v>776</v>
      </c>
      <c r="I26" s="187" t="s">
        <v>722</v>
      </c>
      <c r="J26" s="187" t="s">
        <v>387</v>
      </c>
      <c r="K26" s="187" t="s">
        <v>774</v>
      </c>
    </row>
    <row r="27" spans="1:11" x14ac:dyDescent="0.25">
      <c r="A27" s="204">
        <f t="shared" si="0"/>
        <v>24</v>
      </c>
      <c r="B27" s="266">
        <v>46280</v>
      </c>
      <c r="C27" s="187" t="s">
        <v>13</v>
      </c>
      <c r="D27" s="205">
        <v>4.5</v>
      </c>
      <c r="E27" s="206">
        <v>23</v>
      </c>
      <c r="F27" s="207">
        <v>0.31382500000000002</v>
      </c>
      <c r="G27" s="213" t="s">
        <v>775</v>
      </c>
      <c r="H27" s="187" t="s">
        <v>776</v>
      </c>
      <c r="I27" s="187" t="s">
        <v>797</v>
      </c>
      <c r="J27" s="187" t="s">
        <v>387</v>
      </c>
      <c r="K27" s="187" t="s">
        <v>694</v>
      </c>
    </row>
    <row r="28" spans="1:11" x14ac:dyDescent="0.25">
      <c r="A28" s="204">
        <f t="shared" si="0"/>
        <v>25</v>
      </c>
      <c r="B28" s="266">
        <v>46281</v>
      </c>
      <c r="C28" s="187" t="s">
        <v>13</v>
      </c>
      <c r="D28" s="205">
        <v>4.5</v>
      </c>
      <c r="E28" s="206">
        <v>24</v>
      </c>
      <c r="F28" s="207">
        <v>0.37140000000000001</v>
      </c>
      <c r="G28" s="213" t="s">
        <v>775</v>
      </c>
      <c r="H28" s="187" t="s">
        <v>776</v>
      </c>
      <c r="I28" s="187" t="s">
        <v>812</v>
      </c>
      <c r="J28" s="187" t="s">
        <v>387</v>
      </c>
      <c r="K28" s="187" t="s">
        <v>694</v>
      </c>
    </row>
    <row r="29" spans="1:11" x14ac:dyDescent="0.25">
      <c r="A29" s="204">
        <f t="shared" si="0"/>
        <v>26</v>
      </c>
      <c r="B29" s="266">
        <v>46281</v>
      </c>
      <c r="C29" s="187" t="s">
        <v>13</v>
      </c>
      <c r="D29" s="205">
        <v>3.5</v>
      </c>
      <c r="E29" s="206">
        <v>1</v>
      </c>
      <c r="F29" s="207">
        <v>2.5000000000000001E-2</v>
      </c>
      <c r="G29" s="213" t="s">
        <v>411</v>
      </c>
      <c r="H29" s="268" t="s">
        <v>415</v>
      </c>
      <c r="I29" s="187" t="s">
        <v>813</v>
      </c>
      <c r="J29" s="187" t="s">
        <v>411</v>
      </c>
      <c r="K29" s="187" t="s">
        <v>694</v>
      </c>
    </row>
    <row r="30" spans="1:11" x14ac:dyDescent="0.25">
      <c r="A30" s="204">
        <f t="shared" si="0"/>
        <v>27</v>
      </c>
      <c r="B30" s="266">
        <v>46281</v>
      </c>
      <c r="C30" s="187" t="s">
        <v>15</v>
      </c>
      <c r="D30" s="205">
        <v>4.5</v>
      </c>
      <c r="E30" s="206">
        <v>9</v>
      </c>
      <c r="F30" s="207">
        <v>0.13720499999999999</v>
      </c>
      <c r="G30" s="213" t="s">
        <v>775</v>
      </c>
      <c r="H30" s="187" t="s">
        <v>776</v>
      </c>
      <c r="I30" s="187" t="s">
        <v>722</v>
      </c>
      <c r="J30" s="187" t="s">
        <v>387</v>
      </c>
      <c r="K30" s="187" t="s">
        <v>774</v>
      </c>
    </row>
    <row r="31" spans="1:11" x14ac:dyDescent="0.25">
      <c r="A31" s="204">
        <f t="shared" si="0"/>
        <v>28</v>
      </c>
      <c r="B31" s="266">
        <v>46281</v>
      </c>
      <c r="C31" s="187" t="s">
        <v>15</v>
      </c>
      <c r="D31" s="205">
        <v>5</v>
      </c>
      <c r="E31" s="206">
        <v>9</v>
      </c>
      <c r="F31" s="207">
        <v>0.16089999999999999</v>
      </c>
      <c r="G31" s="213" t="s">
        <v>775</v>
      </c>
      <c r="H31" s="187" t="s">
        <v>776</v>
      </c>
      <c r="I31" s="187" t="s">
        <v>722</v>
      </c>
      <c r="J31" s="187" t="s">
        <v>387</v>
      </c>
      <c r="K31" s="187" t="s">
        <v>774</v>
      </c>
    </row>
    <row r="32" spans="1:11" x14ac:dyDescent="0.25">
      <c r="A32" s="204">
        <f t="shared" si="0"/>
        <v>29</v>
      </c>
      <c r="B32" s="266">
        <v>46281</v>
      </c>
      <c r="C32" s="187" t="s">
        <v>15</v>
      </c>
      <c r="D32" s="205">
        <v>5.5</v>
      </c>
      <c r="E32" s="206">
        <v>7</v>
      </c>
      <c r="F32" s="207">
        <v>0.136015</v>
      </c>
      <c r="G32" s="213" t="s">
        <v>775</v>
      </c>
      <c r="H32" s="187" t="s">
        <v>776</v>
      </c>
      <c r="I32" s="187" t="s">
        <v>722</v>
      </c>
      <c r="J32" s="187" t="s">
        <v>387</v>
      </c>
      <c r="K32" s="187" t="s">
        <v>774</v>
      </c>
    </row>
    <row r="33" spans="1:11" x14ac:dyDescent="0.25">
      <c r="A33" s="204">
        <f t="shared" si="0"/>
        <v>30</v>
      </c>
      <c r="B33" s="266">
        <v>46282</v>
      </c>
      <c r="C33" s="187" t="s">
        <v>15</v>
      </c>
      <c r="D33" s="205">
        <v>2.5</v>
      </c>
      <c r="E33" s="206">
        <v>2</v>
      </c>
      <c r="F33" s="207">
        <v>1.2999999999999999E-2</v>
      </c>
      <c r="G33" s="213" t="s">
        <v>771</v>
      </c>
      <c r="H33" s="187" t="s">
        <v>772</v>
      </c>
      <c r="I33" s="187" t="s">
        <v>773</v>
      </c>
      <c r="J33" s="187" t="s">
        <v>771</v>
      </c>
      <c r="K33" s="187" t="s">
        <v>774</v>
      </c>
    </row>
    <row r="34" spans="1:11" x14ac:dyDescent="0.25">
      <c r="A34" s="204">
        <f t="shared" si="0"/>
        <v>31</v>
      </c>
      <c r="B34" s="266">
        <v>46282</v>
      </c>
      <c r="C34" s="187" t="s">
        <v>15</v>
      </c>
      <c r="D34" s="205">
        <v>4</v>
      </c>
      <c r="E34" s="206">
        <v>4</v>
      </c>
      <c r="F34" s="207">
        <v>3.3160000000000002E-2</v>
      </c>
      <c r="G34" s="213" t="s">
        <v>775</v>
      </c>
      <c r="H34" s="187" t="s">
        <v>776</v>
      </c>
      <c r="I34" s="268" t="s">
        <v>777</v>
      </c>
      <c r="J34" s="187" t="s">
        <v>387</v>
      </c>
      <c r="K34" s="187" t="s">
        <v>774</v>
      </c>
    </row>
    <row r="35" spans="1:11" x14ac:dyDescent="0.25">
      <c r="A35" s="204">
        <f t="shared" si="0"/>
        <v>32</v>
      </c>
      <c r="B35" s="266">
        <v>46282</v>
      </c>
      <c r="C35" s="187" t="s">
        <v>13</v>
      </c>
      <c r="D35" s="205">
        <v>3.5</v>
      </c>
      <c r="E35" s="206">
        <v>27</v>
      </c>
      <c r="F35" s="207">
        <v>0.39010499999999998</v>
      </c>
      <c r="G35" s="213" t="s">
        <v>814</v>
      </c>
      <c r="H35" s="187" t="s">
        <v>776</v>
      </c>
      <c r="I35" s="187" t="s">
        <v>797</v>
      </c>
      <c r="J35" s="187" t="s">
        <v>387</v>
      </c>
      <c r="K35" s="187" t="s">
        <v>694</v>
      </c>
    </row>
    <row r="36" spans="1:11" x14ac:dyDescent="0.25">
      <c r="A36" s="204">
        <f t="shared" si="0"/>
        <v>33</v>
      </c>
      <c r="B36" s="266">
        <v>46282</v>
      </c>
      <c r="C36" s="187" t="s">
        <v>13</v>
      </c>
      <c r="D36" s="205">
        <v>4.5</v>
      </c>
      <c r="E36" s="206">
        <v>15</v>
      </c>
      <c r="F36" s="207">
        <v>0.23860000000000001</v>
      </c>
      <c r="G36" s="213" t="s">
        <v>814</v>
      </c>
      <c r="H36" s="187" t="s">
        <v>776</v>
      </c>
      <c r="I36" s="187" t="s">
        <v>812</v>
      </c>
      <c r="J36" s="187" t="s">
        <v>387</v>
      </c>
      <c r="K36" s="187" t="s">
        <v>694</v>
      </c>
    </row>
    <row r="37" spans="1:11" x14ac:dyDescent="0.25">
      <c r="A37" s="204">
        <f t="shared" ref="A37:A68" si="1">A36+1</f>
        <v>34</v>
      </c>
      <c r="B37" s="266">
        <v>46283</v>
      </c>
      <c r="C37" s="187" t="s">
        <v>13</v>
      </c>
      <c r="D37" s="205">
        <v>3.5</v>
      </c>
      <c r="E37" s="206">
        <v>10</v>
      </c>
      <c r="F37" s="207">
        <v>0.16200000000000001</v>
      </c>
      <c r="G37" s="213" t="s">
        <v>814</v>
      </c>
      <c r="H37" s="187" t="s">
        <v>776</v>
      </c>
      <c r="I37" s="268" t="s">
        <v>797</v>
      </c>
      <c r="J37" s="187" t="s">
        <v>387</v>
      </c>
      <c r="K37" s="187" t="s">
        <v>694</v>
      </c>
    </row>
    <row r="38" spans="1:11" x14ac:dyDescent="0.25">
      <c r="A38" s="204">
        <f t="shared" si="1"/>
        <v>35</v>
      </c>
      <c r="B38" s="266">
        <v>46283</v>
      </c>
      <c r="C38" s="187" t="s">
        <v>13</v>
      </c>
      <c r="D38" s="205">
        <v>4.5</v>
      </c>
      <c r="E38" s="206">
        <v>4</v>
      </c>
      <c r="F38" s="207">
        <v>7.2999999999999995E-2</v>
      </c>
      <c r="G38" s="213" t="s">
        <v>814</v>
      </c>
      <c r="H38" s="187" t="s">
        <v>776</v>
      </c>
      <c r="I38" s="187" t="s">
        <v>812</v>
      </c>
      <c r="J38" s="187" t="s">
        <v>387</v>
      </c>
      <c r="K38" s="187" t="s">
        <v>694</v>
      </c>
    </row>
    <row r="39" spans="1:11" x14ac:dyDescent="0.25">
      <c r="A39" s="204">
        <f t="shared" si="1"/>
        <v>36</v>
      </c>
      <c r="B39" s="266">
        <v>46283</v>
      </c>
      <c r="C39" s="187" t="s">
        <v>13</v>
      </c>
      <c r="D39" s="205">
        <v>4.5</v>
      </c>
      <c r="E39" s="206">
        <v>32</v>
      </c>
      <c r="F39" s="207">
        <v>0.50531499999999996</v>
      </c>
      <c r="G39" s="267" t="s">
        <v>815</v>
      </c>
      <c r="H39" s="268" t="s">
        <v>816</v>
      </c>
      <c r="I39" s="187" t="s">
        <v>817</v>
      </c>
      <c r="J39" s="187" t="s">
        <v>387</v>
      </c>
      <c r="K39" s="187" t="s">
        <v>694</v>
      </c>
    </row>
    <row r="40" spans="1:11" x14ac:dyDescent="0.25">
      <c r="A40" s="204">
        <f t="shared" si="1"/>
        <v>37</v>
      </c>
      <c r="B40" s="266">
        <v>46283</v>
      </c>
      <c r="C40" s="187" t="s">
        <v>13</v>
      </c>
      <c r="D40" s="205">
        <v>3.5</v>
      </c>
      <c r="E40" s="206">
        <v>15</v>
      </c>
      <c r="F40" s="207">
        <v>0.17780000000000001</v>
      </c>
      <c r="G40" s="267" t="s">
        <v>818</v>
      </c>
      <c r="H40" s="187" t="s">
        <v>819</v>
      </c>
      <c r="I40" s="187" t="s">
        <v>820</v>
      </c>
      <c r="J40" s="187" t="s">
        <v>411</v>
      </c>
      <c r="K40" s="187" t="s">
        <v>694</v>
      </c>
    </row>
    <row r="41" spans="1:11" x14ac:dyDescent="0.25">
      <c r="A41" s="204">
        <f t="shared" si="1"/>
        <v>38</v>
      </c>
      <c r="B41" s="266">
        <v>46284</v>
      </c>
      <c r="C41" s="187" t="s">
        <v>13</v>
      </c>
      <c r="D41" s="205">
        <v>8</v>
      </c>
      <c r="E41" s="206">
        <v>14</v>
      </c>
      <c r="F41" s="207">
        <v>0.45440000000000003</v>
      </c>
      <c r="G41" s="267" t="s">
        <v>815</v>
      </c>
      <c r="H41" s="268" t="s">
        <v>816</v>
      </c>
      <c r="I41" s="187" t="s">
        <v>817</v>
      </c>
      <c r="J41" s="187" t="s">
        <v>387</v>
      </c>
      <c r="K41" s="187" t="s">
        <v>694</v>
      </c>
    </row>
    <row r="42" spans="1:11" x14ac:dyDescent="0.25">
      <c r="A42" s="204">
        <f t="shared" si="1"/>
        <v>39</v>
      </c>
      <c r="B42" s="266">
        <v>46286</v>
      </c>
      <c r="C42" s="187" t="s">
        <v>13</v>
      </c>
      <c r="D42" s="205">
        <v>4.5</v>
      </c>
      <c r="E42" s="206">
        <v>3</v>
      </c>
      <c r="F42" s="207">
        <v>8.7650000000000006E-2</v>
      </c>
      <c r="G42" s="213" t="s">
        <v>814</v>
      </c>
      <c r="H42" s="187" t="s">
        <v>776</v>
      </c>
      <c r="I42" s="187" t="s">
        <v>821</v>
      </c>
      <c r="J42" s="187" t="s">
        <v>387</v>
      </c>
      <c r="K42" s="187" t="s">
        <v>694</v>
      </c>
    </row>
    <row r="43" spans="1:11" x14ac:dyDescent="0.25">
      <c r="A43" s="204">
        <f t="shared" si="1"/>
        <v>40</v>
      </c>
      <c r="B43" s="266">
        <v>46286</v>
      </c>
      <c r="C43" s="187" t="s">
        <v>13</v>
      </c>
      <c r="D43" s="205">
        <v>3.5</v>
      </c>
      <c r="E43" s="206">
        <v>12</v>
      </c>
      <c r="F43" s="207">
        <v>0.129825</v>
      </c>
      <c r="G43" s="213" t="s">
        <v>814</v>
      </c>
      <c r="H43" s="187" t="s">
        <v>776</v>
      </c>
      <c r="I43" s="187" t="s">
        <v>821</v>
      </c>
      <c r="J43" s="187" t="s">
        <v>387</v>
      </c>
      <c r="K43" s="187" t="s">
        <v>694</v>
      </c>
    </row>
    <row r="44" spans="1:11" x14ac:dyDescent="0.25">
      <c r="A44" s="204">
        <f t="shared" si="1"/>
        <v>41</v>
      </c>
      <c r="B44" s="266">
        <v>46288</v>
      </c>
      <c r="C44" s="187" t="s">
        <v>13</v>
      </c>
      <c r="D44" s="205">
        <v>3.5</v>
      </c>
      <c r="E44" s="206">
        <v>44</v>
      </c>
      <c r="F44" s="207">
        <v>0.49091499999999999</v>
      </c>
      <c r="G44" s="267" t="s">
        <v>818</v>
      </c>
      <c r="H44" s="187" t="s">
        <v>819</v>
      </c>
      <c r="I44" s="187" t="s">
        <v>822</v>
      </c>
      <c r="J44" s="187" t="s">
        <v>411</v>
      </c>
      <c r="K44" s="187" t="s">
        <v>694</v>
      </c>
    </row>
    <row r="45" spans="1:11" x14ac:dyDescent="0.25">
      <c r="A45" s="204">
        <f t="shared" si="1"/>
        <v>42</v>
      </c>
      <c r="B45" s="266">
        <v>46288</v>
      </c>
      <c r="C45" s="187" t="s">
        <v>13</v>
      </c>
      <c r="D45" s="205">
        <v>2</v>
      </c>
      <c r="E45" s="206">
        <v>19</v>
      </c>
      <c r="F45" s="207">
        <v>0.10526000000000001</v>
      </c>
      <c r="G45" s="213" t="s">
        <v>691</v>
      </c>
      <c r="H45" s="187" t="s">
        <v>692</v>
      </c>
      <c r="I45" s="187" t="s">
        <v>693</v>
      </c>
      <c r="J45" s="187" t="s">
        <v>387</v>
      </c>
      <c r="K45" s="187" t="s">
        <v>694</v>
      </c>
    </row>
    <row r="46" spans="1:11" x14ac:dyDescent="0.25">
      <c r="A46" s="204">
        <f t="shared" si="1"/>
        <v>43</v>
      </c>
      <c r="B46" s="266">
        <v>46288</v>
      </c>
      <c r="C46" s="187" t="s">
        <v>13</v>
      </c>
      <c r="D46" s="205">
        <v>3.5</v>
      </c>
      <c r="E46" s="206">
        <v>5</v>
      </c>
      <c r="F46" s="207">
        <v>5.74E-2</v>
      </c>
      <c r="G46" s="213" t="s">
        <v>411</v>
      </c>
      <c r="H46" s="268" t="s">
        <v>415</v>
      </c>
      <c r="I46" s="268" t="s">
        <v>823</v>
      </c>
      <c r="J46" s="187" t="s">
        <v>411</v>
      </c>
      <c r="K46" s="187" t="s">
        <v>694</v>
      </c>
    </row>
    <row r="47" spans="1:11" x14ac:dyDescent="0.25">
      <c r="A47" s="204">
        <f t="shared" si="1"/>
        <v>44</v>
      </c>
      <c r="B47" s="266">
        <v>46288</v>
      </c>
      <c r="C47" s="187" t="s">
        <v>13</v>
      </c>
      <c r="D47" s="205">
        <v>4.5</v>
      </c>
      <c r="E47" s="206">
        <v>5</v>
      </c>
      <c r="F47" s="207">
        <v>6.4259999999999998E-2</v>
      </c>
      <c r="G47" s="213" t="s">
        <v>411</v>
      </c>
      <c r="H47" s="268" t="s">
        <v>415</v>
      </c>
      <c r="I47" s="268" t="s">
        <v>823</v>
      </c>
      <c r="J47" s="187" t="s">
        <v>411</v>
      </c>
      <c r="K47" s="187" t="s">
        <v>694</v>
      </c>
    </row>
    <row r="48" spans="1:11" x14ac:dyDescent="0.25">
      <c r="A48" s="204">
        <f t="shared" si="1"/>
        <v>45</v>
      </c>
      <c r="B48" s="266">
        <v>46289</v>
      </c>
      <c r="C48" s="187" t="s">
        <v>13</v>
      </c>
      <c r="D48" s="205">
        <v>4.5</v>
      </c>
      <c r="E48" s="206">
        <v>29</v>
      </c>
      <c r="F48" s="207">
        <v>0.48020000000000002</v>
      </c>
      <c r="G48" s="267" t="s">
        <v>691</v>
      </c>
      <c r="H48" s="268" t="s">
        <v>692</v>
      </c>
      <c r="I48" s="268" t="s">
        <v>693</v>
      </c>
      <c r="J48" s="187" t="s">
        <v>387</v>
      </c>
      <c r="K48" s="187" t="s">
        <v>694</v>
      </c>
    </row>
    <row r="49" spans="1:11" x14ac:dyDescent="0.25">
      <c r="A49" s="204">
        <f t="shared" si="1"/>
        <v>46</v>
      </c>
      <c r="B49" s="266">
        <v>46289</v>
      </c>
      <c r="C49" s="187" t="s">
        <v>13</v>
      </c>
      <c r="D49" s="205">
        <v>4.5</v>
      </c>
      <c r="E49" s="206">
        <v>27</v>
      </c>
      <c r="F49" s="207">
        <v>0.38745000000000013</v>
      </c>
      <c r="G49" s="213" t="s">
        <v>838</v>
      </c>
      <c r="H49" s="187" t="s">
        <v>819</v>
      </c>
      <c r="I49" s="268" t="s">
        <v>822</v>
      </c>
      <c r="J49" s="187" t="s">
        <v>387</v>
      </c>
      <c r="K49" s="187" t="s">
        <v>694</v>
      </c>
    </row>
    <row r="50" spans="1:11" x14ac:dyDescent="0.25">
      <c r="A50" s="204">
        <f t="shared" si="1"/>
        <v>47</v>
      </c>
      <c r="B50" s="266">
        <v>46290</v>
      </c>
      <c r="C50" s="187" t="s">
        <v>13</v>
      </c>
      <c r="D50" s="205">
        <v>4.5</v>
      </c>
      <c r="E50" s="206">
        <v>21</v>
      </c>
      <c r="F50" s="207">
        <v>0.3231</v>
      </c>
      <c r="G50" s="213" t="s">
        <v>691</v>
      </c>
      <c r="H50" s="187" t="s">
        <v>692</v>
      </c>
      <c r="I50" s="187" t="s">
        <v>695</v>
      </c>
      <c r="J50" s="187" t="s">
        <v>387</v>
      </c>
      <c r="K50" s="187" t="s">
        <v>694</v>
      </c>
    </row>
    <row r="51" spans="1:11" x14ac:dyDescent="0.25">
      <c r="A51" s="204">
        <f t="shared" si="1"/>
        <v>48</v>
      </c>
      <c r="B51" s="266">
        <v>46291</v>
      </c>
      <c r="C51" s="187" t="s">
        <v>13</v>
      </c>
      <c r="D51" s="205">
        <v>4.5</v>
      </c>
      <c r="E51" s="206">
        <v>25</v>
      </c>
      <c r="F51" s="207">
        <v>0.38092500000000001</v>
      </c>
      <c r="G51" s="213" t="s">
        <v>691</v>
      </c>
      <c r="H51" s="187" t="s">
        <v>692</v>
      </c>
      <c r="I51" s="187" t="s">
        <v>696</v>
      </c>
      <c r="J51" s="187" t="s">
        <v>387</v>
      </c>
      <c r="K51" s="187" t="s">
        <v>694</v>
      </c>
    </row>
    <row r="52" spans="1:11" x14ac:dyDescent="0.25">
      <c r="A52" s="204">
        <f t="shared" si="1"/>
        <v>49</v>
      </c>
      <c r="B52" s="266">
        <v>46291</v>
      </c>
      <c r="C52" s="187" t="s">
        <v>13</v>
      </c>
      <c r="D52" s="205">
        <v>5</v>
      </c>
      <c r="E52" s="206">
        <v>15</v>
      </c>
      <c r="F52" s="207">
        <v>0.27429999999999999</v>
      </c>
      <c r="G52" s="213" t="s">
        <v>691</v>
      </c>
      <c r="H52" s="187" t="s">
        <v>692</v>
      </c>
      <c r="I52" s="187" t="s">
        <v>696</v>
      </c>
      <c r="J52" s="187" t="s">
        <v>387</v>
      </c>
      <c r="K52" s="187" t="s">
        <v>694</v>
      </c>
    </row>
    <row r="53" spans="1:11" x14ac:dyDescent="0.25">
      <c r="A53" s="204">
        <f t="shared" si="1"/>
        <v>50</v>
      </c>
      <c r="B53" s="266">
        <v>46291</v>
      </c>
      <c r="C53" s="187" t="s">
        <v>13</v>
      </c>
      <c r="D53" s="205">
        <v>6</v>
      </c>
      <c r="E53" s="206">
        <v>19</v>
      </c>
      <c r="F53" s="207">
        <v>0.46686</v>
      </c>
      <c r="G53" s="213" t="s">
        <v>691</v>
      </c>
      <c r="H53" s="187" t="s">
        <v>692</v>
      </c>
      <c r="I53" s="187" t="s">
        <v>696</v>
      </c>
      <c r="J53" s="187" t="s">
        <v>387</v>
      </c>
      <c r="K53" s="187" t="s">
        <v>694</v>
      </c>
    </row>
    <row r="54" spans="1:11" x14ac:dyDescent="0.25">
      <c r="A54" s="204">
        <f t="shared" si="1"/>
        <v>51</v>
      </c>
      <c r="B54" s="266">
        <v>46293</v>
      </c>
      <c r="C54" s="187" t="s">
        <v>13</v>
      </c>
      <c r="D54" s="205">
        <v>4.5</v>
      </c>
      <c r="E54" s="206">
        <v>9</v>
      </c>
      <c r="F54" s="207">
        <v>0.16109999999999999</v>
      </c>
      <c r="G54" s="213" t="s">
        <v>691</v>
      </c>
      <c r="H54" s="187" t="s">
        <v>692</v>
      </c>
      <c r="I54" s="187" t="s">
        <v>693</v>
      </c>
      <c r="J54" s="187" t="s">
        <v>387</v>
      </c>
      <c r="K54" s="187" t="s">
        <v>694</v>
      </c>
    </row>
    <row r="55" spans="1:11" x14ac:dyDescent="0.25">
      <c r="A55" s="204">
        <f t="shared" si="1"/>
        <v>52</v>
      </c>
      <c r="B55" s="266">
        <v>46293</v>
      </c>
      <c r="C55" s="187" t="s">
        <v>13</v>
      </c>
      <c r="D55" s="205">
        <v>4.5</v>
      </c>
      <c r="E55" s="206">
        <v>3</v>
      </c>
      <c r="F55" s="207">
        <v>4.6800000000000001E-2</v>
      </c>
      <c r="G55" s="213" t="s">
        <v>691</v>
      </c>
      <c r="H55" s="187" t="s">
        <v>692</v>
      </c>
      <c r="I55" s="187" t="s">
        <v>696</v>
      </c>
      <c r="J55" s="187" t="s">
        <v>387</v>
      </c>
      <c r="K55" s="187" t="s">
        <v>694</v>
      </c>
    </row>
    <row r="56" spans="1:11" x14ac:dyDescent="0.25">
      <c r="A56" s="204">
        <f t="shared" si="1"/>
        <v>53</v>
      </c>
      <c r="B56" s="266">
        <v>46294</v>
      </c>
      <c r="C56" s="187" t="s">
        <v>13</v>
      </c>
      <c r="D56" s="205">
        <v>4.5</v>
      </c>
      <c r="E56" s="206">
        <v>2</v>
      </c>
      <c r="F56" s="207">
        <v>3.3210000000000003E-2</v>
      </c>
      <c r="G56" s="213" t="s">
        <v>411</v>
      </c>
      <c r="H56" s="187" t="s">
        <v>778</v>
      </c>
      <c r="I56" s="187" t="s">
        <v>788</v>
      </c>
      <c r="J56" s="187" t="s">
        <v>411</v>
      </c>
      <c r="K56" s="187" t="s">
        <v>694</v>
      </c>
    </row>
    <row r="57" spans="1:11" x14ac:dyDescent="0.25">
      <c r="A57" s="204">
        <f t="shared" si="1"/>
        <v>54</v>
      </c>
      <c r="B57" s="266">
        <v>46294</v>
      </c>
      <c r="C57" s="187" t="s">
        <v>13</v>
      </c>
      <c r="D57" s="205">
        <v>8</v>
      </c>
      <c r="E57" s="206">
        <v>3</v>
      </c>
      <c r="F57" s="207">
        <v>0.12479999999999999</v>
      </c>
      <c r="G57" s="213" t="s">
        <v>411</v>
      </c>
      <c r="H57" s="187" t="s">
        <v>778</v>
      </c>
      <c r="I57" s="187" t="s">
        <v>788</v>
      </c>
      <c r="J57" s="187" t="s">
        <v>411</v>
      </c>
      <c r="K57" s="187" t="s">
        <v>694</v>
      </c>
    </row>
    <row r="58" spans="1:11" x14ac:dyDescent="0.25">
      <c r="A58" s="204">
        <f t="shared" si="1"/>
        <v>55</v>
      </c>
      <c r="B58" s="266">
        <v>46297</v>
      </c>
      <c r="C58" s="187" t="s">
        <v>13</v>
      </c>
      <c r="D58" s="205">
        <v>2</v>
      </c>
      <c r="E58" s="206">
        <v>6</v>
      </c>
      <c r="F58" s="207">
        <v>2.4559999999999998E-2</v>
      </c>
      <c r="G58" s="213" t="s">
        <v>411</v>
      </c>
      <c r="H58" s="268" t="s">
        <v>415</v>
      </c>
      <c r="I58" s="268" t="s">
        <v>411</v>
      </c>
      <c r="J58" s="187" t="s">
        <v>411</v>
      </c>
      <c r="K58" s="187" t="s">
        <v>694</v>
      </c>
    </row>
    <row r="59" spans="1:11" x14ac:dyDescent="0.25">
      <c r="A59" s="204">
        <f t="shared" si="1"/>
        <v>56</v>
      </c>
      <c r="B59" s="266">
        <v>46300</v>
      </c>
      <c r="C59" s="187" t="s">
        <v>13</v>
      </c>
      <c r="D59" s="205">
        <v>4.5</v>
      </c>
      <c r="E59" s="206">
        <v>5</v>
      </c>
      <c r="F59" s="207">
        <v>7.4745000000000006E-2</v>
      </c>
      <c r="G59" s="213" t="s">
        <v>691</v>
      </c>
      <c r="H59" s="187" t="s">
        <v>692</v>
      </c>
      <c r="I59" s="187" t="s">
        <v>693</v>
      </c>
      <c r="J59" s="187" t="s">
        <v>387</v>
      </c>
      <c r="K59" s="187" t="s">
        <v>694</v>
      </c>
    </row>
    <row r="60" spans="1:11" x14ac:dyDescent="0.25">
      <c r="A60" s="204">
        <f t="shared" si="1"/>
        <v>57</v>
      </c>
      <c r="B60" s="266">
        <v>46300</v>
      </c>
      <c r="C60" s="187" t="s">
        <v>13</v>
      </c>
      <c r="D60" s="205">
        <v>7</v>
      </c>
      <c r="E60" s="206">
        <v>1</v>
      </c>
      <c r="F60" s="207">
        <v>3.6400000000000002E-2</v>
      </c>
      <c r="G60" s="213" t="s">
        <v>411</v>
      </c>
      <c r="H60" s="187" t="s">
        <v>778</v>
      </c>
      <c r="I60" s="187" t="s">
        <v>779</v>
      </c>
      <c r="J60" s="187" t="s">
        <v>411</v>
      </c>
      <c r="K60" s="187" t="s">
        <v>694</v>
      </c>
    </row>
    <row r="61" spans="1:11" x14ac:dyDescent="0.25">
      <c r="A61" s="204">
        <f t="shared" si="1"/>
        <v>58</v>
      </c>
      <c r="B61" s="266">
        <v>46300</v>
      </c>
      <c r="C61" s="187" t="s">
        <v>17</v>
      </c>
      <c r="D61" s="205">
        <v>2.5</v>
      </c>
      <c r="E61" s="206">
        <v>28</v>
      </c>
      <c r="F61" s="207">
        <v>0.110595</v>
      </c>
      <c r="G61" s="213" t="s">
        <v>781</v>
      </c>
      <c r="H61" s="187" t="s">
        <v>870</v>
      </c>
      <c r="I61" s="187" t="s">
        <v>782</v>
      </c>
      <c r="J61" s="187" t="s">
        <v>387</v>
      </c>
      <c r="K61" s="187" t="s">
        <v>783</v>
      </c>
    </row>
    <row r="62" spans="1:11" x14ac:dyDescent="0.25">
      <c r="A62" s="204">
        <f t="shared" si="1"/>
        <v>59</v>
      </c>
      <c r="B62" s="266">
        <v>46300</v>
      </c>
      <c r="C62" s="187" t="s">
        <v>17</v>
      </c>
      <c r="D62" s="205">
        <v>3.5</v>
      </c>
      <c r="E62" s="206">
        <v>41</v>
      </c>
      <c r="F62" s="207">
        <v>0.35637000000000002</v>
      </c>
      <c r="G62" s="213" t="s">
        <v>781</v>
      </c>
      <c r="H62" s="187" t="s">
        <v>870</v>
      </c>
      <c r="I62" s="187" t="s">
        <v>782</v>
      </c>
      <c r="J62" s="187" t="s">
        <v>387</v>
      </c>
      <c r="K62" s="187" t="s">
        <v>783</v>
      </c>
    </row>
    <row r="63" spans="1:11" x14ac:dyDescent="0.25">
      <c r="A63" s="204">
        <f t="shared" si="1"/>
        <v>60</v>
      </c>
      <c r="B63" s="266">
        <v>46301</v>
      </c>
      <c r="C63" s="187" t="s">
        <v>17</v>
      </c>
      <c r="D63" s="205">
        <v>2.5</v>
      </c>
      <c r="E63" s="206">
        <v>15</v>
      </c>
      <c r="F63" s="207">
        <v>6.5924999999999997E-2</v>
      </c>
      <c r="G63" s="213" t="s">
        <v>781</v>
      </c>
      <c r="H63" s="187" t="s">
        <v>870</v>
      </c>
      <c r="I63" s="187" t="s">
        <v>782</v>
      </c>
      <c r="J63" s="187" t="s">
        <v>387</v>
      </c>
      <c r="K63" s="187" t="s">
        <v>783</v>
      </c>
    </row>
    <row r="64" spans="1:11" x14ac:dyDescent="0.25">
      <c r="A64" s="204">
        <f t="shared" si="1"/>
        <v>61</v>
      </c>
      <c r="B64" s="266">
        <v>46301</v>
      </c>
      <c r="C64" s="187" t="s">
        <v>17</v>
      </c>
      <c r="D64" s="205">
        <v>3.5</v>
      </c>
      <c r="E64" s="206">
        <v>7</v>
      </c>
      <c r="F64" s="207">
        <v>7.1645E-2</v>
      </c>
      <c r="G64" s="213" t="s">
        <v>781</v>
      </c>
      <c r="H64" s="187" t="s">
        <v>870</v>
      </c>
      <c r="I64" s="187" t="s">
        <v>782</v>
      </c>
      <c r="J64" s="187" t="s">
        <v>387</v>
      </c>
      <c r="K64" s="187" t="s">
        <v>783</v>
      </c>
    </row>
    <row r="65" spans="1:11" x14ac:dyDescent="0.25">
      <c r="A65" s="204">
        <f t="shared" si="1"/>
        <v>62</v>
      </c>
      <c r="B65" s="266">
        <v>46301</v>
      </c>
      <c r="C65" s="187" t="s">
        <v>13</v>
      </c>
      <c r="D65" s="205">
        <v>4.5</v>
      </c>
      <c r="E65" s="206">
        <v>8</v>
      </c>
      <c r="F65" s="207">
        <v>0.117855</v>
      </c>
      <c r="G65" s="213" t="s">
        <v>784</v>
      </c>
      <c r="H65" s="187" t="s">
        <v>871</v>
      </c>
      <c r="I65" s="187" t="s">
        <v>789</v>
      </c>
      <c r="J65" s="187" t="s">
        <v>387</v>
      </c>
      <c r="K65" s="187" t="s">
        <v>694</v>
      </c>
    </row>
    <row r="66" spans="1:11" x14ac:dyDescent="0.25">
      <c r="A66" s="204">
        <f t="shared" si="1"/>
        <v>63</v>
      </c>
      <c r="B66" s="266">
        <v>46301</v>
      </c>
      <c r="C66" s="187" t="s">
        <v>13</v>
      </c>
      <c r="D66" s="205">
        <v>5</v>
      </c>
      <c r="E66" s="206">
        <v>15</v>
      </c>
      <c r="F66" s="207">
        <v>0.26634999999999998</v>
      </c>
      <c r="G66" s="213" t="s">
        <v>784</v>
      </c>
      <c r="H66" s="187" t="s">
        <v>871</v>
      </c>
      <c r="I66" s="187" t="s">
        <v>789</v>
      </c>
      <c r="J66" s="187" t="s">
        <v>387</v>
      </c>
      <c r="K66" s="187" t="s">
        <v>694</v>
      </c>
    </row>
    <row r="67" spans="1:11" x14ac:dyDescent="0.25">
      <c r="A67" s="204">
        <f t="shared" si="1"/>
        <v>64</v>
      </c>
      <c r="B67" s="266">
        <v>46302</v>
      </c>
      <c r="C67" s="187" t="s">
        <v>17</v>
      </c>
      <c r="D67" s="205">
        <v>3.5</v>
      </c>
      <c r="E67" s="206">
        <v>11</v>
      </c>
      <c r="F67" s="207">
        <v>9.3939999999999996E-2</v>
      </c>
      <c r="G67" s="213" t="s">
        <v>781</v>
      </c>
      <c r="H67" s="187" t="s">
        <v>870</v>
      </c>
      <c r="I67" s="187" t="s">
        <v>782</v>
      </c>
      <c r="J67" s="187" t="s">
        <v>387</v>
      </c>
      <c r="K67" s="187" t="s">
        <v>783</v>
      </c>
    </row>
    <row r="68" spans="1:11" x14ac:dyDescent="0.25">
      <c r="A68" s="204">
        <f t="shared" si="1"/>
        <v>65</v>
      </c>
      <c r="B68" s="266">
        <v>46302</v>
      </c>
      <c r="C68" s="187" t="s">
        <v>13</v>
      </c>
      <c r="D68" s="205">
        <v>4.5</v>
      </c>
      <c r="E68" s="206">
        <v>15</v>
      </c>
      <c r="F68" s="207">
        <v>0.211725</v>
      </c>
      <c r="G68" s="213" t="s">
        <v>784</v>
      </c>
      <c r="H68" s="187" t="s">
        <v>871</v>
      </c>
      <c r="I68" s="187" t="s">
        <v>785</v>
      </c>
      <c r="J68" s="187" t="s">
        <v>387</v>
      </c>
      <c r="K68" s="187" t="s">
        <v>694</v>
      </c>
    </row>
    <row r="69" spans="1:11" x14ac:dyDescent="0.25">
      <c r="A69" s="204">
        <f t="shared" ref="A69:A82" si="2">A68+1</f>
        <v>66</v>
      </c>
      <c r="B69" s="266">
        <v>46302</v>
      </c>
      <c r="C69" s="187" t="s">
        <v>13</v>
      </c>
      <c r="D69" s="205">
        <v>5</v>
      </c>
      <c r="E69" s="206">
        <v>3</v>
      </c>
      <c r="F69" s="207">
        <v>8.5250000000000006E-2</v>
      </c>
      <c r="G69" s="213" t="s">
        <v>784</v>
      </c>
      <c r="H69" s="187" t="s">
        <v>871</v>
      </c>
      <c r="I69" s="187" t="s">
        <v>786</v>
      </c>
      <c r="J69" s="187" t="s">
        <v>387</v>
      </c>
      <c r="K69" s="187" t="s">
        <v>694</v>
      </c>
    </row>
    <row r="70" spans="1:11" x14ac:dyDescent="0.25">
      <c r="A70" s="204">
        <f t="shared" si="2"/>
        <v>67</v>
      </c>
      <c r="B70" s="266">
        <v>46302</v>
      </c>
      <c r="C70" s="187" t="s">
        <v>13</v>
      </c>
      <c r="D70" s="205">
        <v>5</v>
      </c>
      <c r="E70" s="206">
        <v>41</v>
      </c>
      <c r="F70" s="207">
        <v>1.0708</v>
      </c>
      <c r="G70" s="213" t="s">
        <v>784</v>
      </c>
      <c r="H70" s="187" t="s">
        <v>871</v>
      </c>
      <c r="I70" s="187" t="s">
        <v>834</v>
      </c>
      <c r="J70" s="187" t="s">
        <v>387</v>
      </c>
      <c r="K70" s="187" t="s">
        <v>694</v>
      </c>
    </row>
    <row r="71" spans="1:11" x14ac:dyDescent="0.25">
      <c r="A71" s="204">
        <f t="shared" si="2"/>
        <v>68</v>
      </c>
      <c r="B71" s="266">
        <v>46303</v>
      </c>
      <c r="C71" s="187" t="s">
        <v>13</v>
      </c>
      <c r="D71" s="205">
        <v>3.5</v>
      </c>
      <c r="E71" s="206">
        <v>18</v>
      </c>
      <c r="F71" s="207">
        <v>0.22662499999999999</v>
      </c>
      <c r="G71" s="213" t="s">
        <v>784</v>
      </c>
      <c r="H71" s="187" t="s">
        <v>871</v>
      </c>
      <c r="I71" s="187" t="s">
        <v>787</v>
      </c>
      <c r="J71" s="187" t="s">
        <v>387</v>
      </c>
      <c r="K71" s="187" t="s">
        <v>694</v>
      </c>
    </row>
    <row r="72" spans="1:11" x14ac:dyDescent="0.25">
      <c r="A72" s="204">
        <f t="shared" si="2"/>
        <v>69</v>
      </c>
      <c r="B72" s="266">
        <v>46303</v>
      </c>
      <c r="C72" s="187" t="s">
        <v>13</v>
      </c>
      <c r="D72" s="205">
        <v>4.5</v>
      </c>
      <c r="E72" s="206">
        <v>10</v>
      </c>
      <c r="F72" s="207">
        <v>0.18423</v>
      </c>
      <c r="G72" s="213" t="s">
        <v>784</v>
      </c>
      <c r="H72" s="187" t="s">
        <v>871</v>
      </c>
      <c r="I72" s="187" t="s">
        <v>787</v>
      </c>
      <c r="J72" s="187" t="s">
        <v>387</v>
      </c>
      <c r="K72" s="187" t="s">
        <v>694</v>
      </c>
    </row>
    <row r="73" spans="1:11" x14ac:dyDescent="0.25">
      <c r="A73" s="204">
        <f t="shared" si="2"/>
        <v>70</v>
      </c>
      <c r="B73" s="266">
        <v>46303</v>
      </c>
      <c r="C73" s="187" t="s">
        <v>13</v>
      </c>
      <c r="D73" s="205">
        <v>5</v>
      </c>
      <c r="E73" s="206">
        <v>1</v>
      </c>
      <c r="F73" s="207">
        <v>1.9199999999999998E-2</v>
      </c>
      <c r="G73" s="213" t="s">
        <v>411</v>
      </c>
      <c r="H73" s="187" t="s">
        <v>778</v>
      </c>
      <c r="I73" s="187" t="s">
        <v>788</v>
      </c>
      <c r="J73" s="187" t="s">
        <v>411</v>
      </c>
      <c r="K73" s="187" t="s">
        <v>694</v>
      </c>
    </row>
    <row r="74" spans="1:11" x14ac:dyDescent="0.25">
      <c r="A74" s="204">
        <f t="shared" si="2"/>
        <v>71</v>
      </c>
      <c r="B74" s="266">
        <v>46303</v>
      </c>
      <c r="C74" s="187" t="s">
        <v>13</v>
      </c>
      <c r="D74" s="205">
        <v>6</v>
      </c>
      <c r="E74" s="206">
        <v>4</v>
      </c>
      <c r="F74" s="207">
        <v>9.7439999999999999E-2</v>
      </c>
      <c r="G74" s="213" t="s">
        <v>784</v>
      </c>
      <c r="H74" s="187" t="s">
        <v>871</v>
      </c>
      <c r="I74" s="187" t="s">
        <v>789</v>
      </c>
      <c r="J74" s="187" t="s">
        <v>387</v>
      </c>
      <c r="K74" s="187" t="s">
        <v>694</v>
      </c>
    </row>
    <row r="75" spans="1:11" x14ac:dyDescent="0.25">
      <c r="A75" s="204">
        <f t="shared" si="2"/>
        <v>72</v>
      </c>
      <c r="B75" s="266">
        <v>46304</v>
      </c>
      <c r="C75" s="187" t="s">
        <v>13</v>
      </c>
      <c r="D75" s="205">
        <v>3.5</v>
      </c>
      <c r="E75" s="206">
        <v>5</v>
      </c>
      <c r="F75" s="207">
        <v>5.6665E-2</v>
      </c>
      <c r="G75" s="213" t="s">
        <v>784</v>
      </c>
      <c r="H75" s="187" t="s">
        <v>871</v>
      </c>
      <c r="I75" s="187" t="s">
        <v>790</v>
      </c>
      <c r="J75" s="187" t="s">
        <v>387</v>
      </c>
      <c r="K75" s="187" t="s">
        <v>694</v>
      </c>
    </row>
    <row r="76" spans="1:11" x14ac:dyDescent="0.25">
      <c r="A76" s="204">
        <f t="shared" si="2"/>
        <v>73</v>
      </c>
      <c r="B76" s="266">
        <v>46304</v>
      </c>
      <c r="C76" s="187" t="s">
        <v>13</v>
      </c>
      <c r="D76" s="205">
        <v>7</v>
      </c>
      <c r="E76" s="206">
        <v>22</v>
      </c>
      <c r="F76" s="207">
        <v>0.97033999999999998</v>
      </c>
      <c r="G76" s="213" t="s">
        <v>784</v>
      </c>
      <c r="H76" s="187" t="s">
        <v>871</v>
      </c>
      <c r="I76" s="187" t="s">
        <v>787</v>
      </c>
      <c r="J76" s="187" t="s">
        <v>387</v>
      </c>
      <c r="K76" s="187" t="s">
        <v>694</v>
      </c>
    </row>
    <row r="77" spans="1:11" x14ac:dyDescent="0.25">
      <c r="A77" s="204">
        <f t="shared" si="2"/>
        <v>74</v>
      </c>
      <c r="B77" s="266">
        <v>46309</v>
      </c>
      <c r="C77" s="187" t="s">
        <v>13</v>
      </c>
      <c r="D77" s="205">
        <v>3.5</v>
      </c>
      <c r="E77" s="206">
        <v>39</v>
      </c>
      <c r="F77" s="207">
        <v>0.41199999999999998</v>
      </c>
      <c r="G77" s="267" t="s">
        <v>784</v>
      </c>
      <c r="H77" s="268" t="s">
        <v>871</v>
      </c>
      <c r="I77" s="268" t="s">
        <v>841</v>
      </c>
      <c r="J77" s="187" t="s">
        <v>387</v>
      </c>
      <c r="K77" s="187" t="s">
        <v>872</v>
      </c>
    </row>
    <row r="78" spans="1:11" x14ac:dyDescent="0.25">
      <c r="A78" s="204">
        <f t="shared" si="2"/>
        <v>75</v>
      </c>
      <c r="B78" s="266">
        <v>46309</v>
      </c>
      <c r="C78" s="187" t="s">
        <v>13</v>
      </c>
      <c r="D78" s="205">
        <v>7</v>
      </c>
      <c r="E78" s="206">
        <v>12</v>
      </c>
      <c r="F78" s="207">
        <v>0.501</v>
      </c>
      <c r="G78" s="267" t="s">
        <v>784</v>
      </c>
      <c r="H78" s="268" t="s">
        <v>871</v>
      </c>
      <c r="I78" s="268" t="s">
        <v>828</v>
      </c>
      <c r="J78" s="187" t="s">
        <v>387</v>
      </c>
      <c r="K78" s="187" t="s">
        <v>872</v>
      </c>
    </row>
    <row r="79" spans="1:11" x14ac:dyDescent="0.25">
      <c r="A79" s="204">
        <f t="shared" si="2"/>
        <v>76</v>
      </c>
      <c r="B79" s="266">
        <v>46309</v>
      </c>
      <c r="C79" s="187" t="s">
        <v>17</v>
      </c>
      <c r="D79" s="205">
        <v>3.5</v>
      </c>
      <c r="E79" s="206">
        <v>18</v>
      </c>
      <c r="F79" s="207">
        <v>0.14899999999999999</v>
      </c>
      <c r="G79" s="213" t="s">
        <v>781</v>
      </c>
      <c r="H79" s="268" t="s">
        <v>870</v>
      </c>
      <c r="I79" s="268" t="s">
        <v>782</v>
      </c>
      <c r="J79" s="187" t="s">
        <v>387</v>
      </c>
      <c r="K79" s="187" t="s">
        <v>872</v>
      </c>
    </row>
    <row r="80" spans="1:11" x14ac:dyDescent="0.25">
      <c r="A80" s="204">
        <f t="shared" si="2"/>
        <v>77</v>
      </c>
      <c r="B80" s="266">
        <v>46312</v>
      </c>
      <c r="C80" s="187" t="s">
        <v>13</v>
      </c>
      <c r="D80" s="205">
        <v>3.5</v>
      </c>
      <c r="E80" s="206">
        <v>25</v>
      </c>
      <c r="F80" s="207">
        <v>0.22434999999999999</v>
      </c>
      <c r="G80" s="267" t="s">
        <v>845</v>
      </c>
      <c r="H80" s="268" t="s">
        <v>873</v>
      </c>
      <c r="I80" s="268" t="s">
        <v>874</v>
      </c>
      <c r="J80" s="187" t="s">
        <v>387</v>
      </c>
      <c r="K80" s="187" t="s">
        <v>875</v>
      </c>
    </row>
    <row r="81" spans="1:11" x14ac:dyDescent="0.25">
      <c r="A81" s="204">
        <f t="shared" si="2"/>
        <v>78</v>
      </c>
      <c r="B81" s="266">
        <v>46312</v>
      </c>
      <c r="C81" s="187" t="s">
        <v>13</v>
      </c>
      <c r="D81" s="205">
        <v>4.5</v>
      </c>
      <c r="E81" s="206">
        <v>5</v>
      </c>
      <c r="F81" s="207">
        <v>5.2200000000000003E-2</v>
      </c>
      <c r="G81" s="267" t="s">
        <v>784</v>
      </c>
      <c r="H81" s="268" t="s">
        <v>871</v>
      </c>
      <c r="I81" s="268" t="s">
        <v>841</v>
      </c>
      <c r="J81" s="187" t="s">
        <v>387</v>
      </c>
      <c r="K81" s="187" t="s">
        <v>875</v>
      </c>
    </row>
    <row r="82" spans="1:11" x14ac:dyDescent="0.25">
      <c r="A82" s="204">
        <f t="shared" si="2"/>
        <v>79</v>
      </c>
      <c r="B82" s="266">
        <v>46312</v>
      </c>
      <c r="C82" s="187" t="s">
        <v>17</v>
      </c>
      <c r="D82" s="205">
        <v>2.5</v>
      </c>
      <c r="E82" s="206">
        <v>4</v>
      </c>
      <c r="F82" s="207">
        <v>1.4274999999999999E-2</v>
      </c>
      <c r="G82" s="213" t="s">
        <v>781</v>
      </c>
      <c r="H82" s="268" t="s">
        <v>870</v>
      </c>
      <c r="I82" s="268" t="s">
        <v>782</v>
      </c>
      <c r="J82" s="187" t="s">
        <v>387</v>
      </c>
      <c r="K82" s="187" t="s">
        <v>875</v>
      </c>
    </row>
  </sheetData>
  <conditionalFormatting sqref="A4:K82">
    <cfRule type="expression" dxfId="2" priority="1">
      <formula>AND($A4&lt;&gt;"",A4="")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
  <sheetViews>
    <sheetView showGridLines="0" zoomScale="70" zoomScaleNormal="70" workbookViewId="0">
      <selection activeCell="E18" sqref="E18"/>
    </sheetView>
  </sheetViews>
  <sheetFormatPr defaultRowHeight="15" x14ac:dyDescent="0.25"/>
  <cols>
    <col min="1" max="1" width="24.85546875" bestFit="1" customWidth="1"/>
    <col min="2" max="2" width="61" customWidth="1"/>
    <col min="3" max="3" width="10.7109375" bestFit="1" customWidth="1"/>
    <col min="4" max="4" width="11.5703125" bestFit="1" customWidth="1"/>
    <col min="5" max="5" width="14.28515625" customWidth="1"/>
    <col min="6" max="6" width="10.140625" bestFit="1" customWidth="1"/>
    <col min="7" max="7" width="32.42578125" customWidth="1"/>
    <col min="8" max="8" width="28.7109375" bestFit="1" customWidth="1"/>
    <col min="9" max="14" width="32.42578125" customWidth="1"/>
  </cols>
  <sheetData>
    <row r="1" spans="1:14" ht="18" customHeight="1" x14ac:dyDescent="0.25">
      <c r="A1" s="76" t="s">
        <v>876</v>
      </c>
      <c r="B1" s="76" t="s">
        <v>877</v>
      </c>
      <c r="C1" s="65" t="s">
        <v>878</v>
      </c>
      <c r="D1" s="65" t="s">
        <v>879</v>
      </c>
      <c r="E1" s="65" t="s">
        <v>880</v>
      </c>
      <c r="F1" s="65" t="s">
        <v>881</v>
      </c>
      <c r="G1" s="66">
        <v>46300</v>
      </c>
      <c r="H1" s="66">
        <v>46301</v>
      </c>
      <c r="I1" s="66">
        <v>46302</v>
      </c>
      <c r="J1" s="66">
        <v>46303</v>
      </c>
      <c r="K1" s="66">
        <v>46304</v>
      </c>
      <c r="L1" s="66">
        <v>46305</v>
      </c>
      <c r="M1" s="66">
        <v>46312</v>
      </c>
      <c r="N1" s="65" t="s">
        <v>882</v>
      </c>
    </row>
    <row r="2" spans="1:14" ht="18" customHeight="1" x14ac:dyDescent="0.25">
      <c r="A2" s="77" t="s">
        <v>818</v>
      </c>
      <c r="B2" s="67" t="s">
        <v>883</v>
      </c>
      <c r="C2" s="68">
        <v>46293</v>
      </c>
      <c r="D2" s="69">
        <v>1</v>
      </c>
      <c r="E2" s="69">
        <v>1</v>
      </c>
      <c r="F2" s="69">
        <f t="shared" ref="F2:F8" si="0">D2-E2</f>
        <v>0</v>
      </c>
      <c r="G2" s="69" t="s">
        <v>884</v>
      </c>
      <c r="H2" s="69" t="s">
        <v>884</v>
      </c>
      <c r="I2" s="69" t="s">
        <v>884</v>
      </c>
      <c r="J2" s="69" t="s">
        <v>885</v>
      </c>
      <c r="K2" s="69" t="s">
        <v>885</v>
      </c>
      <c r="L2" s="69" t="s">
        <v>886</v>
      </c>
      <c r="M2" s="69" t="s">
        <v>823</v>
      </c>
      <c r="N2" s="69" t="str">
        <f t="array" ref="N2">LOOKUP(2,1/(G2:M2&lt;&gt;"-"),G2:M2)</f>
        <v>Shipped to Semambu</v>
      </c>
    </row>
    <row r="3" spans="1:14" ht="18" customHeight="1" x14ac:dyDescent="0.25">
      <c r="A3" s="77" t="s">
        <v>818</v>
      </c>
      <c r="B3" s="67" t="s">
        <v>887</v>
      </c>
      <c r="C3" s="68">
        <v>46293</v>
      </c>
      <c r="D3" s="69">
        <v>1</v>
      </c>
      <c r="E3" s="69">
        <v>1</v>
      </c>
      <c r="F3" s="69">
        <f t="shared" si="0"/>
        <v>0</v>
      </c>
      <c r="G3" s="69" t="s">
        <v>884</v>
      </c>
      <c r="H3" s="69" t="s">
        <v>884</v>
      </c>
      <c r="I3" s="69" t="s">
        <v>884</v>
      </c>
      <c r="J3" s="69" t="s">
        <v>885</v>
      </c>
      <c r="K3" s="69" t="s">
        <v>885</v>
      </c>
      <c r="L3" s="69" t="s">
        <v>886</v>
      </c>
      <c r="M3" s="69" t="s">
        <v>823</v>
      </c>
      <c r="N3" s="69" t="str">
        <f t="array" ref="N3">LOOKUP(2,1/(G3:M3&lt;&gt;"-"),G3:M3)</f>
        <v>Shipped to Semambu</v>
      </c>
    </row>
    <row r="4" spans="1:14" ht="18" customHeight="1" x14ac:dyDescent="0.25">
      <c r="A4" s="77" t="s">
        <v>780</v>
      </c>
      <c r="B4" s="67" t="s">
        <v>888</v>
      </c>
      <c r="C4" s="68">
        <v>46310</v>
      </c>
      <c r="D4" s="69">
        <v>1</v>
      </c>
      <c r="E4" s="69">
        <v>1</v>
      </c>
      <c r="F4" s="69">
        <f t="shared" si="0"/>
        <v>0</v>
      </c>
      <c r="G4" s="69" t="s">
        <v>889</v>
      </c>
      <c r="H4" s="69" t="s">
        <v>889</v>
      </c>
      <c r="I4" s="69" t="s">
        <v>889</v>
      </c>
      <c r="J4" s="69" t="s">
        <v>889</v>
      </c>
      <c r="K4" s="69" t="s">
        <v>890</v>
      </c>
      <c r="L4" s="69" t="s">
        <v>890</v>
      </c>
      <c r="M4" s="69" t="s">
        <v>886</v>
      </c>
      <c r="N4" s="69" t="str">
        <f t="array" ref="N4">LOOKUP(2,1/(G4:M4&lt;&gt;"-"),G4:M4)</f>
        <v>Shipped to Semambu</v>
      </c>
    </row>
    <row r="5" spans="1:14" ht="18" customHeight="1" x14ac:dyDescent="0.25">
      <c r="A5" s="77" t="s">
        <v>780</v>
      </c>
      <c r="B5" s="67" t="s">
        <v>891</v>
      </c>
      <c r="C5" s="68">
        <v>46310</v>
      </c>
      <c r="D5" s="69">
        <v>1</v>
      </c>
      <c r="E5" s="69">
        <v>0</v>
      </c>
      <c r="F5" s="69">
        <f t="shared" si="0"/>
        <v>1</v>
      </c>
      <c r="G5" s="69" t="s">
        <v>889</v>
      </c>
      <c r="H5" s="69" t="s">
        <v>889</v>
      </c>
      <c r="I5" s="69" t="s">
        <v>889</v>
      </c>
      <c r="J5" s="69" t="s">
        <v>889</v>
      </c>
      <c r="K5" s="69" t="s">
        <v>889</v>
      </c>
      <c r="L5" s="69" t="s">
        <v>889</v>
      </c>
      <c r="M5" s="69" t="s">
        <v>892</v>
      </c>
      <c r="N5" s="69" t="str">
        <f t="array" ref="N5">LOOKUP(2,1/(G5:M5&lt;&gt;"-"),G5:M5)</f>
        <v>Pembahanan (Revisi After QC Check)</v>
      </c>
    </row>
    <row r="6" spans="1:14" ht="18" customHeight="1" x14ac:dyDescent="0.25">
      <c r="A6" s="77" t="s">
        <v>780</v>
      </c>
      <c r="B6" s="67" t="s">
        <v>893</v>
      </c>
      <c r="C6" s="68">
        <v>46310</v>
      </c>
      <c r="D6" s="69">
        <v>1</v>
      </c>
      <c r="E6" s="69">
        <v>0</v>
      </c>
      <c r="F6" s="69">
        <f t="shared" si="0"/>
        <v>1</v>
      </c>
      <c r="G6" s="69" t="s">
        <v>889</v>
      </c>
      <c r="H6" s="69" t="s">
        <v>889</v>
      </c>
      <c r="I6" s="69" t="s">
        <v>889</v>
      </c>
      <c r="J6" s="69" t="s">
        <v>889</v>
      </c>
      <c r="K6" s="69" t="s">
        <v>890</v>
      </c>
      <c r="L6" s="69" t="s">
        <v>890</v>
      </c>
      <c r="M6" s="69" t="s">
        <v>892</v>
      </c>
      <c r="N6" s="69" t="str">
        <f t="array" ref="N6">LOOKUP(2,1/(G6:M6&lt;&gt;"-"),G6:M6)</f>
        <v>Pembahanan (Revisi After QC Check)</v>
      </c>
    </row>
    <row r="7" spans="1:14" ht="18" customHeight="1" x14ac:dyDescent="0.25">
      <c r="A7" s="77" t="s">
        <v>780</v>
      </c>
      <c r="B7" s="67" t="s">
        <v>894</v>
      </c>
      <c r="C7" s="68">
        <v>46310</v>
      </c>
      <c r="D7" s="69">
        <v>1</v>
      </c>
      <c r="E7" s="69">
        <v>0</v>
      </c>
      <c r="F7" s="69">
        <f t="shared" si="0"/>
        <v>1</v>
      </c>
      <c r="G7" s="69" t="s">
        <v>889</v>
      </c>
      <c r="H7" s="69" t="s">
        <v>889</v>
      </c>
      <c r="I7" s="69" t="s">
        <v>889</v>
      </c>
      <c r="J7" s="69" t="s">
        <v>889</v>
      </c>
      <c r="K7" s="69" t="s">
        <v>889</v>
      </c>
      <c r="L7" s="69" t="s">
        <v>889</v>
      </c>
      <c r="M7" s="69" t="s">
        <v>890</v>
      </c>
      <c r="N7" s="69" t="str">
        <f t="array" ref="N7">LOOKUP(2,1/(G7:M7&lt;&gt;"-"),G7:M7)</f>
        <v>Sanding Process</v>
      </c>
    </row>
    <row r="8" spans="1:14" ht="18" customHeight="1" x14ac:dyDescent="0.25">
      <c r="A8" s="77" t="s">
        <v>780</v>
      </c>
      <c r="B8" s="67" t="s">
        <v>895</v>
      </c>
      <c r="C8" s="68">
        <v>46310</v>
      </c>
      <c r="D8" s="69">
        <v>1</v>
      </c>
      <c r="E8" s="69">
        <v>1</v>
      </c>
      <c r="F8" s="69">
        <f t="shared" si="0"/>
        <v>0</v>
      </c>
      <c r="G8" s="69" t="s">
        <v>889</v>
      </c>
      <c r="H8" s="69" t="s">
        <v>889</v>
      </c>
      <c r="I8" s="69" t="s">
        <v>889</v>
      </c>
      <c r="J8" s="69" t="s">
        <v>823</v>
      </c>
      <c r="K8" s="69" t="s">
        <v>885</v>
      </c>
      <c r="L8" s="69" t="s">
        <v>886</v>
      </c>
      <c r="M8" s="69" t="s">
        <v>823</v>
      </c>
      <c r="N8" s="69" t="str">
        <f t="array" ref="N8">LOOKUP(2,1/(G8:M8&lt;&gt;"-"),G8:M8)</f>
        <v>Shipped to Semambu</v>
      </c>
    </row>
    <row r="9" spans="1:14" ht="18" customHeight="1" x14ac:dyDescent="0.25">
      <c r="A9" s="67"/>
      <c r="B9" s="67"/>
      <c r="C9" s="67"/>
      <c r="D9" s="67"/>
      <c r="E9" s="67"/>
      <c r="F9" s="67"/>
      <c r="G9" s="67"/>
      <c r="H9" s="67"/>
      <c r="I9" s="67"/>
      <c r="J9" s="67"/>
      <c r="K9" s="67"/>
      <c r="L9" s="67"/>
      <c r="M9" s="67"/>
      <c r="N9" s="67"/>
    </row>
    <row r="10" spans="1:14" ht="18" customHeight="1" x14ac:dyDescent="0.25">
      <c r="A10" s="67"/>
      <c r="B10" s="67"/>
      <c r="C10" s="67"/>
      <c r="D10" s="67"/>
      <c r="E10" s="67"/>
      <c r="F10" s="67"/>
      <c r="G10" s="67"/>
      <c r="H10" s="67"/>
      <c r="I10" s="67"/>
      <c r="J10" s="67"/>
      <c r="K10" s="67"/>
      <c r="L10" s="67"/>
      <c r="M10" s="67"/>
      <c r="N10" s="67"/>
    </row>
    <row r="11" spans="1:14" ht="18" customHeight="1" x14ac:dyDescent="0.3">
      <c r="A11" s="70" t="s">
        <v>882</v>
      </c>
      <c r="B11" s="78"/>
      <c r="C11" s="65" t="s">
        <v>896</v>
      </c>
      <c r="D11" s="65" t="s">
        <v>881</v>
      </c>
      <c r="E11" s="65" t="s">
        <v>897</v>
      </c>
      <c r="F11" s="7"/>
      <c r="G11" s="70" t="s">
        <v>898</v>
      </c>
      <c r="H11" s="71" t="s">
        <v>899</v>
      </c>
      <c r="I11" s="67"/>
      <c r="J11" s="67"/>
      <c r="K11" s="67"/>
      <c r="L11" s="67"/>
      <c r="M11" s="67"/>
      <c r="N11" s="67"/>
    </row>
    <row r="12" spans="1:14" ht="18" customHeight="1" x14ac:dyDescent="0.3">
      <c r="A12" s="67" t="s">
        <v>900</v>
      </c>
      <c r="B12" s="7"/>
      <c r="C12" s="69">
        <f t="shared" ref="C12:C17" si="1">SUMIFS($D$2:$D$8,$N$2:$N$8,$A12)</f>
        <v>0</v>
      </c>
      <c r="D12" s="69">
        <f t="shared" ref="D12:D17" si="2">SUMIFS($F$2:$F$8,$N$2:$N$8,$A12)</f>
        <v>0</v>
      </c>
      <c r="E12" s="69">
        <f t="shared" ref="E12:E17" si="3">COUNTIF($N$2:$N$8,$A12)</f>
        <v>0</v>
      </c>
      <c r="F12" s="7"/>
      <c r="G12" s="67" t="s">
        <v>818</v>
      </c>
      <c r="H12" s="72">
        <f>SUMIFS(tblOUT[Volume (m³)],tblOUT[Sample SPK],G12)</f>
        <v>0.66871499999999995</v>
      </c>
      <c r="I12" s="67"/>
      <c r="J12" s="67"/>
      <c r="K12" s="67"/>
      <c r="L12" s="67"/>
      <c r="M12" s="67"/>
      <c r="N12" s="67"/>
    </row>
    <row r="13" spans="1:14" ht="18" customHeight="1" x14ac:dyDescent="0.3">
      <c r="A13" s="67" t="s">
        <v>892</v>
      </c>
      <c r="B13" s="7"/>
      <c r="C13" s="69">
        <f t="shared" si="1"/>
        <v>2</v>
      </c>
      <c r="D13" s="69">
        <f t="shared" si="2"/>
        <v>2</v>
      </c>
      <c r="E13" s="69">
        <f t="shared" si="3"/>
        <v>2</v>
      </c>
      <c r="F13" s="7"/>
      <c r="G13" s="67" t="s">
        <v>780</v>
      </c>
      <c r="H13" s="72">
        <f>SUMIFS(tblOUT[Volume (m³)],tblOUT[Sample SPK],G13)</f>
        <v>0.33721000000000001</v>
      </c>
      <c r="I13" s="67"/>
      <c r="J13" s="67"/>
      <c r="K13" s="67"/>
      <c r="L13" s="67"/>
      <c r="M13" s="67"/>
      <c r="N13" s="67"/>
    </row>
    <row r="14" spans="1:14" ht="18" customHeight="1" x14ac:dyDescent="0.3">
      <c r="A14" s="67" t="s">
        <v>901</v>
      </c>
      <c r="B14" s="7"/>
      <c r="C14" s="69">
        <f t="shared" si="1"/>
        <v>0</v>
      </c>
      <c r="D14" s="69">
        <f t="shared" si="2"/>
        <v>0</v>
      </c>
      <c r="E14" s="69">
        <f t="shared" si="3"/>
        <v>0</v>
      </c>
      <c r="F14" s="7"/>
      <c r="G14" s="67" t="s">
        <v>902</v>
      </c>
      <c r="H14" s="72">
        <f>SUMIFS(tblOUT[Volume (m³)],tblOUT[Category],"Sample",tblOUT[Sample SPK],"")</f>
        <v>2.4962080000000002</v>
      </c>
      <c r="I14" s="67"/>
      <c r="J14" s="67"/>
      <c r="K14" s="67"/>
      <c r="L14" s="67"/>
      <c r="M14" s="67"/>
      <c r="N14" s="67"/>
    </row>
    <row r="15" spans="1:14" ht="18" customHeight="1" x14ac:dyDescent="0.3">
      <c r="A15" s="67" t="s">
        <v>889</v>
      </c>
      <c r="B15" s="7"/>
      <c r="C15" s="69">
        <f t="shared" si="1"/>
        <v>0</v>
      </c>
      <c r="D15" s="69">
        <f t="shared" si="2"/>
        <v>0</v>
      </c>
      <c r="E15" s="69">
        <f t="shared" si="3"/>
        <v>0</v>
      </c>
      <c r="F15" s="7"/>
      <c r="G15" s="73" t="s">
        <v>30</v>
      </c>
      <c r="H15" s="74">
        <f>SUMIFS(tblOUT[Volume (m³)],tblOUT[Category],"Sample")+SUMIFS(tblOUT[Volume (m³)],tblOUT[Category],"&lt;&gt;Sample",tblOUT[Sample SPK],"&lt;&gt;")</f>
        <v>3.5021330000000006</v>
      </c>
      <c r="I15" s="67"/>
      <c r="J15" s="67"/>
      <c r="K15" s="67"/>
      <c r="L15" s="67"/>
      <c r="M15" s="67"/>
      <c r="N15" s="67"/>
    </row>
    <row r="16" spans="1:14" ht="18" customHeight="1" x14ac:dyDescent="0.3">
      <c r="A16" s="67" t="s">
        <v>890</v>
      </c>
      <c r="B16" s="7"/>
      <c r="C16" s="69">
        <f t="shared" si="1"/>
        <v>1</v>
      </c>
      <c r="D16" s="69">
        <f t="shared" si="2"/>
        <v>1</v>
      </c>
      <c r="E16" s="69">
        <f t="shared" si="3"/>
        <v>1</v>
      </c>
      <c r="F16" s="7"/>
      <c r="I16" s="67"/>
      <c r="J16" s="67"/>
      <c r="K16" s="67"/>
      <c r="L16" s="67"/>
      <c r="M16" s="67"/>
      <c r="N16" s="67"/>
    </row>
    <row r="17" spans="1:14" ht="18" customHeight="1" x14ac:dyDescent="0.3">
      <c r="A17" s="67" t="s">
        <v>886</v>
      </c>
      <c r="B17" s="7"/>
      <c r="C17" s="69">
        <f t="shared" si="1"/>
        <v>4</v>
      </c>
      <c r="D17" s="69">
        <f t="shared" si="2"/>
        <v>0</v>
      </c>
      <c r="E17" s="69">
        <f t="shared" si="3"/>
        <v>4</v>
      </c>
      <c r="F17" s="67"/>
      <c r="G17" s="67"/>
      <c r="H17" s="67"/>
      <c r="I17" s="67"/>
      <c r="J17" s="67"/>
      <c r="K17" s="67"/>
      <c r="L17" s="67"/>
      <c r="M17" s="67"/>
      <c r="N17" s="67"/>
    </row>
    <row r="18" spans="1:14" ht="18" customHeight="1" x14ac:dyDescent="0.3">
      <c r="A18" s="73" t="s">
        <v>30</v>
      </c>
      <c r="B18" s="79"/>
      <c r="C18" s="75">
        <f>SUM(C12:C17)</f>
        <v>7</v>
      </c>
      <c r="D18" s="75">
        <f>SUM(D12:D17)</f>
        <v>3</v>
      </c>
      <c r="E18" s="75">
        <f>SUM(E12:E17)</f>
        <v>7</v>
      </c>
      <c r="F18" s="67"/>
      <c r="G18" s="67"/>
      <c r="H18" s="67"/>
      <c r="I18" s="67"/>
      <c r="J18" s="67"/>
      <c r="K18" s="67"/>
      <c r="L18" s="67"/>
      <c r="M18" s="67"/>
      <c r="N18" s="6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1"/>
  <sheetViews>
    <sheetView showGridLines="0" workbookViewId="0">
      <selection activeCell="G12" sqref="G12"/>
    </sheetView>
  </sheetViews>
  <sheetFormatPr defaultRowHeight="15" x14ac:dyDescent="0.25"/>
  <cols>
    <col min="1" max="1" width="16.28515625" bestFit="1" customWidth="1"/>
    <col min="2" max="2" width="10.28515625" bestFit="1" customWidth="1"/>
    <col min="3" max="3" width="10.42578125" bestFit="1" customWidth="1"/>
    <col min="4" max="4" width="9" bestFit="1" customWidth="1"/>
    <col min="5" max="5" width="12.28515625" bestFit="1" customWidth="1"/>
  </cols>
  <sheetData>
    <row r="1" spans="1:5" x14ac:dyDescent="0.25">
      <c r="A1" s="2" t="s">
        <v>903</v>
      </c>
      <c r="B1" s="2" t="s">
        <v>359</v>
      </c>
      <c r="C1" s="2" t="s">
        <v>2</v>
      </c>
      <c r="D1" s="2" t="s">
        <v>352</v>
      </c>
      <c r="E1" s="2" t="s">
        <v>33</v>
      </c>
    </row>
    <row r="2" spans="1:5" x14ac:dyDescent="0.25">
      <c r="A2" s="3">
        <v>46281</v>
      </c>
      <c r="B2" s="1" t="s">
        <v>15</v>
      </c>
      <c r="C2" s="1">
        <v>3</v>
      </c>
      <c r="D2" s="1">
        <v>300</v>
      </c>
      <c r="E2" s="4">
        <v>1.6950000000000001</v>
      </c>
    </row>
    <row r="3" spans="1:5" x14ac:dyDescent="0.25">
      <c r="A3" s="3">
        <v>46281</v>
      </c>
      <c r="B3" s="1" t="s">
        <v>15</v>
      </c>
      <c r="C3" s="1">
        <v>3.5</v>
      </c>
      <c r="D3" s="1">
        <v>338</v>
      </c>
      <c r="E3" s="4">
        <v>2.7639999999999998</v>
      </c>
    </row>
    <row r="4" spans="1:5" x14ac:dyDescent="0.25">
      <c r="A4" s="3">
        <v>46281</v>
      </c>
      <c r="B4" s="1" t="s">
        <v>15</v>
      </c>
      <c r="C4" s="1">
        <v>2.5</v>
      </c>
      <c r="D4" s="1">
        <v>20</v>
      </c>
      <c r="E4" s="4">
        <v>9.0999999999999998E-2</v>
      </c>
    </row>
    <row r="5" spans="1:5" x14ac:dyDescent="0.25">
      <c r="A5" s="3">
        <v>46281</v>
      </c>
      <c r="B5" s="1" t="s">
        <v>15</v>
      </c>
      <c r="C5" s="1">
        <v>4</v>
      </c>
      <c r="D5" s="1">
        <v>20</v>
      </c>
      <c r="E5" s="4">
        <v>0.16800000000000001</v>
      </c>
    </row>
    <row r="6" spans="1:5" x14ac:dyDescent="0.25">
      <c r="A6" s="3">
        <v>46281</v>
      </c>
      <c r="B6" s="1" t="s">
        <v>15</v>
      </c>
      <c r="C6" s="1">
        <v>4.5</v>
      </c>
      <c r="D6" s="1">
        <v>39</v>
      </c>
      <c r="E6" s="4">
        <v>0.39400000000000002</v>
      </c>
    </row>
    <row r="7" spans="1:5" x14ac:dyDescent="0.25">
      <c r="A7" s="3">
        <v>46281</v>
      </c>
      <c r="B7" s="1" t="s">
        <v>15</v>
      </c>
      <c r="C7" s="1">
        <v>5</v>
      </c>
      <c r="D7" s="1">
        <v>43</v>
      </c>
      <c r="E7" s="4">
        <v>0.42799999999999999</v>
      </c>
    </row>
    <row r="8" spans="1:5" x14ac:dyDescent="0.25">
      <c r="A8" s="3">
        <v>46281</v>
      </c>
      <c r="B8" s="1" t="s">
        <v>15</v>
      </c>
      <c r="C8" s="1">
        <v>5.5</v>
      </c>
      <c r="D8" s="1">
        <v>34</v>
      </c>
      <c r="E8" s="4">
        <v>0.4</v>
      </c>
    </row>
    <row r="9" spans="1:5" x14ac:dyDescent="0.25">
      <c r="A9" s="3">
        <v>46281</v>
      </c>
      <c r="B9" s="1" t="s">
        <v>15</v>
      </c>
      <c r="C9" s="1">
        <v>7.5</v>
      </c>
      <c r="D9" s="1">
        <v>127</v>
      </c>
      <c r="E9" s="4">
        <v>2.718</v>
      </c>
    </row>
    <row r="10" spans="1:5" x14ac:dyDescent="0.25">
      <c r="A10" s="3">
        <v>46281</v>
      </c>
      <c r="B10" s="1" t="s">
        <v>15</v>
      </c>
      <c r="C10" s="1">
        <v>8</v>
      </c>
      <c r="D10" s="1">
        <v>165</v>
      </c>
      <c r="E10" s="4">
        <v>3.7642000000000002</v>
      </c>
    </row>
    <row r="11" spans="1:5" x14ac:dyDescent="0.25">
      <c r="A11" s="3">
        <v>46288</v>
      </c>
      <c r="B11" s="1" t="s">
        <v>904</v>
      </c>
      <c r="C11" s="1">
        <v>2</v>
      </c>
      <c r="D11" s="1">
        <v>12</v>
      </c>
      <c r="E11" s="4">
        <v>4.5999999999999999E-2</v>
      </c>
    </row>
    <row r="12" spans="1:5" x14ac:dyDescent="0.25">
      <c r="A12" s="3">
        <v>46288</v>
      </c>
      <c r="B12" s="1" t="s">
        <v>904</v>
      </c>
      <c r="C12" s="1">
        <v>3</v>
      </c>
      <c r="D12" s="1">
        <v>1</v>
      </c>
      <c r="E12" s="4">
        <v>0.01</v>
      </c>
    </row>
    <row r="13" spans="1:5" x14ac:dyDescent="0.25">
      <c r="A13" s="3">
        <v>46288</v>
      </c>
      <c r="B13" s="1" t="s">
        <v>904</v>
      </c>
      <c r="C13" s="1">
        <v>3.5</v>
      </c>
      <c r="D13" s="1">
        <v>1</v>
      </c>
      <c r="E13" s="4">
        <v>1.4999999999999999E-2</v>
      </c>
    </row>
    <row r="14" spans="1:5" x14ac:dyDescent="0.25">
      <c r="A14" s="3">
        <v>46288</v>
      </c>
      <c r="B14" s="1" t="s">
        <v>904</v>
      </c>
      <c r="C14" s="1">
        <v>4</v>
      </c>
      <c r="D14" s="1">
        <v>1</v>
      </c>
      <c r="E14" s="4">
        <v>1.4E-2</v>
      </c>
    </row>
    <row r="15" spans="1:5" x14ac:dyDescent="0.25">
      <c r="A15" s="3">
        <v>46288</v>
      </c>
      <c r="B15" s="1" t="s">
        <v>904</v>
      </c>
      <c r="C15" s="1">
        <v>4.5</v>
      </c>
      <c r="D15" s="1">
        <v>143</v>
      </c>
      <c r="E15" s="4">
        <v>2.161</v>
      </c>
    </row>
    <row r="16" spans="1:5" x14ac:dyDescent="0.25">
      <c r="A16" s="3">
        <v>46288</v>
      </c>
      <c r="B16" s="1" t="s">
        <v>904</v>
      </c>
      <c r="C16" s="1">
        <v>5</v>
      </c>
      <c r="D16" s="1">
        <v>35</v>
      </c>
      <c r="E16" s="4">
        <v>0.626</v>
      </c>
    </row>
    <row r="17" spans="1:5" x14ac:dyDescent="0.25">
      <c r="A17" s="3">
        <v>46288</v>
      </c>
      <c r="B17" s="1" t="s">
        <v>904</v>
      </c>
      <c r="C17" s="1">
        <v>6</v>
      </c>
      <c r="D17" s="1">
        <v>264</v>
      </c>
      <c r="E17" s="4">
        <v>5.9340000000000002</v>
      </c>
    </row>
    <row r="18" spans="1:5" x14ac:dyDescent="0.25">
      <c r="A18" s="3">
        <v>46288</v>
      </c>
      <c r="B18" s="1" t="s">
        <v>904</v>
      </c>
      <c r="C18" s="1">
        <v>7</v>
      </c>
      <c r="D18" s="1">
        <v>303</v>
      </c>
      <c r="E18" s="4">
        <v>9.2319999999999993</v>
      </c>
    </row>
    <row r="19" spans="1:5" x14ac:dyDescent="0.25">
      <c r="A19" s="3">
        <v>46288</v>
      </c>
      <c r="B19" s="1" t="s">
        <v>904</v>
      </c>
      <c r="C19" s="1">
        <v>8</v>
      </c>
      <c r="D19" s="1">
        <v>78</v>
      </c>
      <c r="E19" s="4">
        <v>2.4900000000000002</v>
      </c>
    </row>
    <row r="20" spans="1:5" x14ac:dyDescent="0.25">
      <c r="A20" s="3">
        <v>46297</v>
      </c>
      <c r="B20" s="1" t="s">
        <v>904</v>
      </c>
      <c r="C20" s="1">
        <v>2</v>
      </c>
      <c r="D20" s="1">
        <v>6</v>
      </c>
      <c r="E20" s="4">
        <v>2.1000000000000001E-2</v>
      </c>
    </row>
    <row r="21" spans="1:5" x14ac:dyDescent="0.25">
      <c r="A21" s="3">
        <v>46297</v>
      </c>
      <c r="B21" s="1" t="s">
        <v>904</v>
      </c>
      <c r="C21" s="1">
        <v>3</v>
      </c>
      <c r="D21" s="1">
        <v>1</v>
      </c>
      <c r="E21" s="4">
        <v>0.01</v>
      </c>
    </row>
    <row r="22" spans="1:5" x14ac:dyDescent="0.25">
      <c r="A22" s="3">
        <v>46297</v>
      </c>
      <c r="B22" s="1" t="s">
        <v>904</v>
      </c>
      <c r="C22" s="1">
        <v>3.5</v>
      </c>
      <c r="D22" s="1">
        <v>1</v>
      </c>
      <c r="E22" s="4">
        <v>1.4999999999999999E-2</v>
      </c>
    </row>
    <row r="23" spans="1:5" x14ac:dyDescent="0.25">
      <c r="A23" s="3">
        <v>46297</v>
      </c>
      <c r="B23" s="1" t="s">
        <v>904</v>
      </c>
      <c r="C23" s="1">
        <v>4</v>
      </c>
      <c r="D23" s="1">
        <v>1</v>
      </c>
      <c r="E23" s="4">
        <v>1.4E-2</v>
      </c>
    </row>
    <row r="24" spans="1:5" x14ac:dyDescent="0.25">
      <c r="A24" s="3">
        <v>46297</v>
      </c>
      <c r="B24" s="1" t="s">
        <v>904</v>
      </c>
      <c r="C24" s="1">
        <v>4.5</v>
      </c>
      <c r="D24" s="1">
        <v>27</v>
      </c>
      <c r="E24" s="4">
        <v>0.34899999999999998</v>
      </c>
    </row>
    <row r="25" spans="1:5" x14ac:dyDescent="0.25">
      <c r="A25" s="3">
        <v>46297</v>
      </c>
      <c r="B25" s="1" t="s">
        <v>904</v>
      </c>
      <c r="C25" s="1">
        <v>5</v>
      </c>
      <c r="D25" s="1">
        <v>20</v>
      </c>
      <c r="E25" s="4">
        <v>0.35099999999999998</v>
      </c>
    </row>
    <row r="26" spans="1:5" x14ac:dyDescent="0.25">
      <c r="A26" s="3">
        <v>46297</v>
      </c>
      <c r="B26" s="1" t="s">
        <v>904</v>
      </c>
      <c r="C26" s="1">
        <v>6</v>
      </c>
      <c r="D26" s="1">
        <v>245</v>
      </c>
      <c r="E26" s="4">
        <v>5.4669999999999996</v>
      </c>
    </row>
    <row r="27" spans="1:5" x14ac:dyDescent="0.25">
      <c r="A27" s="3">
        <v>46297</v>
      </c>
      <c r="B27" s="1" t="s">
        <v>904</v>
      </c>
      <c r="C27" s="1">
        <v>7</v>
      </c>
      <c r="D27" s="1">
        <v>303</v>
      </c>
      <c r="E27" s="4">
        <v>9.2319999999999993</v>
      </c>
    </row>
    <row r="28" spans="1:5" x14ac:dyDescent="0.25">
      <c r="A28" s="3">
        <v>46297</v>
      </c>
      <c r="B28" s="1" t="s">
        <v>904</v>
      </c>
      <c r="C28" s="1">
        <v>8</v>
      </c>
      <c r="D28" s="1">
        <v>75</v>
      </c>
      <c r="E28" s="4">
        <v>2.3650000000000002</v>
      </c>
    </row>
    <row r="29" spans="1:5" x14ac:dyDescent="0.25">
      <c r="A29" s="3">
        <v>46309</v>
      </c>
      <c r="B29" s="1" t="s">
        <v>904</v>
      </c>
      <c r="C29" s="1">
        <v>2</v>
      </c>
      <c r="D29" s="1">
        <v>6</v>
      </c>
      <c r="E29" s="4">
        <v>2.135999999999999E-2</v>
      </c>
    </row>
    <row r="30" spans="1:5" x14ac:dyDescent="0.25">
      <c r="A30" s="3">
        <v>46309</v>
      </c>
      <c r="B30" s="1" t="s">
        <v>904</v>
      </c>
      <c r="C30" s="1">
        <v>3</v>
      </c>
      <c r="D30" s="1">
        <v>1</v>
      </c>
      <c r="E30" s="4">
        <v>1.0200000000000001E-2</v>
      </c>
    </row>
    <row r="31" spans="1:5" x14ac:dyDescent="0.25">
      <c r="A31" s="3">
        <v>46309</v>
      </c>
      <c r="B31" s="1" t="s">
        <v>904</v>
      </c>
      <c r="C31" s="1">
        <v>3.5</v>
      </c>
      <c r="D31" s="1">
        <v>99</v>
      </c>
      <c r="E31" s="4">
        <v>1.039464999999999</v>
      </c>
    </row>
    <row r="32" spans="1:5" x14ac:dyDescent="0.25">
      <c r="A32" s="3">
        <v>46309</v>
      </c>
      <c r="B32" s="1" t="s">
        <v>904</v>
      </c>
      <c r="C32" s="1">
        <v>4</v>
      </c>
      <c r="D32" s="1">
        <v>1</v>
      </c>
      <c r="E32" s="4">
        <v>1.44E-2</v>
      </c>
    </row>
    <row r="33" spans="1:5" x14ac:dyDescent="0.25">
      <c r="A33" s="3">
        <v>46309</v>
      </c>
      <c r="B33" s="1" t="s">
        <v>904</v>
      </c>
      <c r="C33" s="1">
        <v>4.5</v>
      </c>
      <c r="D33" s="1">
        <v>167</v>
      </c>
      <c r="E33" s="4">
        <v>2.804219999999999</v>
      </c>
    </row>
    <row r="34" spans="1:5" x14ac:dyDescent="0.25">
      <c r="A34" s="3">
        <v>46309</v>
      </c>
      <c r="B34" s="1" t="s">
        <v>904</v>
      </c>
      <c r="C34" s="1">
        <v>5</v>
      </c>
      <c r="D34" s="1">
        <v>1</v>
      </c>
      <c r="E34" s="4">
        <v>0</v>
      </c>
    </row>
    <row r="35" spans="1:5" x14ac:dyDescent="0.25">
      <c r="A35" s="3">
        <v>46309</v>
      </c>
      <c r="B35" s="1" t="s">
        <v>904</v>
      </c>
      <c r="C35" s="1">
        <v>6</v>
      </c>
      <c r="D35" s="1">
        <v>240.98079999999999</v>
      </c>
      <c r="E35" s="4">
        <v>5.3697600000000003</v>
      </c>
    </row>
    <row r="36" spans="1:5" x14ac:dyDescent="0.25">
      <c r="A36" s="3">
        <v>46309</v>
      </c>
      <c r="B36" s="1" t="s">
        <v>904</v>
      </c>
      <c r="C36" s="1">
        <v>7</v>
      </c>
      <c r="D36" s="1">
        <v>263</v>
      </c>
      <c r="E36" s="4">
        <v>7.5186300000000008</v>
      </c>
    </row>
    <row r="37" spans="1:5" x14ac:dyDescent="0.25">
      <c r="A37" s="3">
        <v>46309</v>
      </c>
      <c r="B37" s="1" t="s">
        <v>904</v>
      </c>
      <c r="C37" s="1">
        <v>8</v>
      </c>
      <c r="D37" s="1">
        <v>75</v>
      </c>
      <c r="E37" s="4">
        <v>2.3652800000000012</v>
      </c>
    </row>
    <row r="38" spans="1:5" x14ac:dyDescent="0.25">
      <c r="A38" s="3">
        <v>46309</v>
      </c>
      <c r="B38" s="1" t="s">
        <v>15</v>
      </c>
      <c r="C38" s="1">
        <v>3</v>
      </c>
      <c r="D38" s="1">
        <v>300</v>
      </c>
      <c r="E38" s="4">
        <v>1.694871</v>
      </c>
    </row>
    <row r="39" spans="1:5" x14ac:dyDescent="0.25">
      <c r="A39" s="3">
        <v>46309</v>
      </c>
      <c r="B39" s="1" t="s">
        <v>15</v>
      </c>
      <c r="C39" s="1">
        <v>3.5</v>
      </c>
      <c r="D39" s="1">
        <v>338</v>
      </c>
      <c r="E39" s="4">
        <v>2.7637749999999999</v>
      </c>
    </row>
    <row r="40" spans="1:5" x14ac:dyDescent="0.25">
      <c r="A40" s="3">
        <v>46309</v>
      </c>
      <c r="B40" s="1" t="s">
        <v>15</v>
      </c>
      <c r="C40" s="1">
        <v>2.5</v>
      </c>
      <c r="D40" s="1">
        <v>18</v>
      </c>
      <c r="E40" s="4">
        <v>7.8225000000000017E-2</v>
      </c>
    </row>
    <row r="41" spans="1:5" x14ac:dyDescent="0.25">
      <c r="A41" s="3">
        <v>46309</v>
      </c>
      <c r="B41" s="1" t="s">
        <v>15</v>
      </c>
      <c r="C41" s="1">
        <v>4</v>
      </c>
      <c r="D41" s="1">
        <v>7</v>
      </c>
      <c r="E41" s="4">
        <v>0.13044</v>
      </c>
    </row>
    <row r="42" spans="1:5" x14ac:dyDescent="0.25">
      <c r="A42" s="3">
        <v>46309</v>
      </c>
      <c r="B42" s="1" t="s">
        <v>15</v>
      </c>
      <c r="C42" s="1">
        <v>4.5</v>
      </c>
      <c r="D42" s="1">
        <v>39</v>
      </c>
      <c r="E42" s="4">
        <v>0.39424500000000012</v>
      </c>
    </row>
    <row r="43" spans="1:5" x14ac:dyDescent="0.25">
      <c r="A43" s="3">
        <v>46309</v>
      </c>
      <c r="B43" s="1" t="s">
        <v>15</v>
      </c>
      <c r="C43" s="1">
        <v>5</v>
      </c>
      <c r="D43" s="1">
        <v>43</v>
      </c>
      <c r="E43" s="4">
        <v>0.42830000000000013</v>
      </c>
    </row>
    <row r="44" spans="1:5" x14ac:dyDescent="0.25">
      <c r="A44" s="3">
        <v>46309</v>
      </c>
      <c r="B44" s="1" t="s">
        <v>15</v>
      </c>
      <c r="C44" s="1">
        <v>5.5</v>
      </c>
      <c r="D44" s="1">
        <v>34</v>
      </c>
      <c r="E44" s="4">
        <v>0.40001500000000001</v>
      </c>
    </row>
    <row r="45" spans="1:5" x14ac:dyDescent="0.25">
      <c r="A45" s="3">
        <v>46309</v>
      </c>
      <c r="B45" s="1" t="s">
        <v>15</v>
      </c>
      <c r="C45" s="1">
        <v>7.5</v>
      </c>
      <c r="D45" s="1">
        <v>127</v>
      </c>
      <c r="E45" s="4">
        <v>2.7184499999999998</v>
      </c>
    </row>
    <row r="46" spans="1:5" x14ac:dyDescent="0.25">
      <c r="A46" s="3">
        <v>46309</v>
      </c>
      <c r="B46" s="1" t="s">
        <v>15</v>
      </c>
      <c r="C46" s="1">
        <v>8</v>
      </c>
      <c r="D46" s="1">
        <v>165</v>
      </c>
      <c r="E46" s="4">
        <v>3.76424</v>
      </c>
    </row>
    <row r="47" spans="1:5" x14ac:dyDescent="0.25">
      <c r="A47" s="3">
        <v>46309</v>
      </c>
      <c r="B47" s="1" t="s">
        <v>905</v>
      </c>
      <c r="C47" s="1">
        <v>2.5</v>
      </c>
      <c r="D47" s="1">
        <v>12</v>
      </c>
      <c r="E47" s="4">
        <v>4.8779999999999983E-2</v>
      </c>
    </row>
    <row r="48" spans="1:5" x14ac:dyDescent="0.25">
      <c r="A48" s="3">
        <v>46309</v>
      </c>
      <c r="B48" s="1" t="s">
        <v>905</v>
      </c>
      <c r="C48" s="1">
        <v>3.5</v>
      </c>
      <c r="D48" s="1">
        <v>8</v>
      </c>
      <c r="E48" s="4">
        <v>8.7674999999999614E-2</v>
      </c>
    </row>
    <row r="49" spans="1:5" x14ac:dyDescent="0.25">
      <c r="A49" s="3">
        <v>46319</v>
      </c>
      <c r="B49" s="1" t="s">
        <v>904</v>
      </c>
      <c r="C49" s="1">
        <v>2</v>
      </c>
      <c r="D49" s="1">
        <v>3.9807999999999999</v>
      </c>
      <c r="E49" s="4">
        <v>7.3600000000000002E-3</v>
      </c>
    </row>
    <row r="50" spans="1:5" x14ac:dyDescent="0.25">
      <c r="A50" s="3">
        <v>46319</v>
      </c>
      <c r="B50" s="1" t="s">
        <v>904</v>
      </c>
      <c r="C50" s="1">
        <v>3</v>
      </c>
      <c r="D50" s="1">
        <v>1</v>
      </c>
      <c r="E50" s="4">
        <v>1.0200000000000001E-2</v>
      </c>
    </row>
    <row r="51" spans="1:5" x14ac:dyDescent="0.25">
      <c r="A51" s="3">
        <v>46319</v>
      </c>
      <c r="B51" s="1" t="s">
        <v>904</v>
      </c>
      <c r="C51" s="1">
        <v>3.5</v>
      </c>
      <c r="D51" s="1">
        <v>242</v>
      </c>
      <c r="E51" s="4">
        <v>2.13171</v>
      </c>
    </row>
    <row r="52" spans="1:5" x14ac:dyDescent="0.25">
      <c r="A52" s="3">
        <v>46319</v>
      </c>
      <c r="B52" s="1" t="s">
        <v>904</v>
      </c>
      <c r="C52" s="1">
        <v>4</v>
      </c>
      <c r="D52" s="1">
        <v>1</v>
      </c>
      <c r="E52" s="4">
        <v>1.44E-2</v>
      </c>
    </row>
    <row r="53" spans="1:5" x14ac:dyDescent="0.25">
      <c r="A53" s="3">
        <v>46319</v>
      </c>
      <c r="B53" s="1" t="s">
        <v>904</v>
      </c>
      <c r="C53" s="1">
        <v>4.5</v>
      </c>
      <c r="D53" s="1">
        <v>57</v>
      </c>
      <c r="E53" s="4">
        <v>0.84694499999999995</v>
      </c>
    </row>
    <row r="54" spans="1:5" x14ac:dyDescent="0.25">
      <c r="A54" s="3">
        <v>46319</v>
      </c>
      <c r="B54" s="1" t="s">
        <v>904</v>
      </c>
      <c r="C54" s="1">
        <v>5</v>
      </c>
      <c r="D54" s="1">
        <v>0</v>
      </c>
      <c r="E54" s="4">
        <v>0</v>
      </c>
    </row>
    <row r="55" spans="1:5" x14ac:dyDescent="0.25">
      <c r="A55" s="3">
        <v>46319</v>
      </c>
      <c r="B55" s="1" t="s">
        <v>904</v>
      </c>
      <c r="C55" s="1">
        <v>5.5</v>
      </c>
      <c r="D55" s="1">
        <v>0</v>
      </c>
      <c r="E55" s="4">
        <v>0</v>
      </c>
    </row>
    <row r="56" spans="1:5" x14ac:dyDescent="0.25">
      <c r="A56" s="3">
        <v>46319</v>
      </c>
      <c r="B56" s="1" t="s">
        <v>904</v>
      </c>
      <c r="C56" s="1">
        <v>6</v>
      </c>
      <c r="D56" s="1">
        <v>207.743425</v>
      </c>
      <c r="E56" s="4">
        <v>4.5392400000000004</v>
      </c>
    </row>
    <row r="57" spans="1:5" x14ac:dyDescent="0.25">
      <c r="A57" s="3">
        <v>46319</v>
      </c>
      <c r="B57" s="1" t="s">
        <v>904</v>
      </c>
      <c r="C57" s="1">
        <v>7</v>
      </c>
      <c r="D57" s="1">
        <v>33</v>
      </c>
      <c r="E57" s="4">
        <v>6.6739259999999998</v>
      </c>
    </row>
    <row r="58" spans="1:5" x14ac:dyDescent="0.25">
      <c r="A58" s="3">
        <v>46319</v>
      </c>
      <c r="B58" s="1" t="s">
        <v>904</v>
      </c>
      <c r="C58" s="1">
        <v>8</v>
      </c>
      <c r="D58" s="1">
        <v>74</v>
      </c>
      <c r="E58" s="4">
        <v>2.3000799999999999</v>
      </c>
    </row>
    <row r="59" spans="1:5" x14ac:dyDescent="0.25">
      <c r="A59" s="3">
        <v>46319</v>
      </c>
      <c r="B59" s="1" t="s">
        <v>15</v>
      </c>
      <c r="C59" s="1">
        <v>2.5</v>
      </c>
      <c r="D59" s="1">
        <v>18</v>
      </c>
      <c r="E59" s="4">
        <v>7.8225000000000003E-2</v>
      </c>
    </row>
    <row r="60" spans="1:5" x14ac:dyDescent="0.25">
      <c r="A60" s="3">
        <v>46319</v>
      </c>
      <c r="B60" s="1" t="s">
        <v>15</v>
      </c>
      <c r="C60" s="1">
        <v>3</v>
      </c>
      <c r="D60" s="1">
        <v>254.88354000000001</v>
      </c>
      <c r="E60" s="4">
        <v>1.387281</v>
      </c>
    </row>
    <row r="61" spans="1:5" x14ac:dyDescent="0.25">
      <c r="A61" s="3">
        <v>46319</v>
      </c>
      <c r="B61" s="1" t="s">
        <v>15</v>
      </c>
      <c r="C61" s="1">
        <v>3.5</v>
      </c>
      <c r="D61" s="1">
        <v>319.84393999999998</v>
      </c>
      <c r="E61" s="4">
        <v>2.609775</v>
      </c>
    </row>
    <row r="62" spans="1:5" x14ac:dyDescent="0.25">
      <c r="A62" s="3">
        <v>46319</v>
      </c>
      <c r="B62" s="1" t="s">
        <v>15</v>
      </c>
      <c r="C62" s="1">
        <v>4</v>
      </c>
      <c r="D62" s="1">
        <v>3</v>
      </c>
      <c r="E62" s="4">
        <v>8.8760000000000006E-2</v>
      </c>
    </row>
    <row r="63" spans="1:5" x14ac:dyDescent="0.25">
      <c r="A63" s="3">
        <v>46319</v>
      </c>
      <c r="B63" s="1" t="s">
        <v>15</v>
      </c>
      <c r="C63" s="1">
        <v>4.5</v>
      </c>
      <c r="D63" s="1">
        <v>0</v>
      </c>
      <c r="E63" s="4">
        <v>5.6699999999999997E-3</v>
      </c>
    </row>
    <row r="64" spans="1:5" x14ac:dyDescent="0.25">
      <c r="A64" s="3">
        <v>46319</v>
      </c>
      <c r="B64" s="1" t="s">
        <v>15</v>
      </c>
      <c r="C64" s="1">
        <v>5</v>
      </c>
      <c r="D64" s="1">
        <v>7</v>
      </c>
      <c r="E64" s="4">
        <v>7.4654999999999999E-2</v>
      </c>
    </row>
    <row r="65" spans="1:5" x14ac:dyDescent="0.25">
      <c r="A65" s="3">
        <v>46319</v>
      </c>
      <c r="B65" s="1" t="s">
        <v>15</v>
      </c>
      <c r="C65" s="1">
        <v>5.5</v>
      </c>
      <c r="D65" s="1">
        <v>10</v>
      </c>
      <c r="E65" s="4">
        <v>0.10505</v>
      </c>
    </row>
    <row r="66" spans="1:5" x14ac:dyDescent="0.25">
      <c r="A66" s="3">
        <v>46319</v>
      </c>
      <c r="B66" s="1" t="s">
        <v>15</v>
      </c>
      <c r="C66" s="1">
        <v>7.5</v>
      </c>
      <c r="D66" s="1">
        <v>102</v>
      </c>
      <c r="E66" s="4">
        <v>2.0378250000000002</v>
      </c>
    </row>
    <row r="67" spans="1:5" x14ac:dyDescent="0.25">
      <c r="A67" s="3">
        <v>46319</v>
      </c>
      <c r="B67" s="1" t="s">
        <v>15</v>
      </c>
      <c r="C67" s="1">
        <v>8</v>
      </c>
      <c r="D67" s="1">
        <v>156</v>
      </c>
      <c r="E67" s="4">
        <v>3.5428799999999998</v>
      </c>
    </row>
    <row r="68" spans="1:5" x14ac:dyDescent="0.25">
      <c r="A68" s="3">
        <v>46319</v>
      </c>
      <c r="B68" s="1" t="s">
        <v>905</v>
      </c>
      <c r="C68" s="1">
        <v>2.5</v>
      </c>
      <c r="D68" s="1">
        <v>8</v>
      </c>
      <c r="E68" s="4">
        <v>3.4505000000000001E-2</v>
      </c>
    </row>
    <row r="69" spans="1:5" x14ac:dyDescent="0.25">
      <c r="A69" s="3">
        <v>46319</v>
      </c>
      <c r="B69" s="1" t="s">
        <v>905</v>
      </c>
      <c r="C69" s="1">
        <v>3.5</v>
      </c>
      <c r="D69" s="1">
        <v>8</v>
      </c>
      <c r="E69" s="4">
        <v>8.7675000000000003E-2</v>
      </c>
    </row>
    <row r="70" spans="1:5" x14ac:dyDescent="0.25">
      <c r="A70" s="3">
        <v>46319</v>
      </c>
      <c r="B70" s="1" t="s">
        <v>904</v>
      </c>
      <c r="C70" s="1" t="s">
        <v>906</v>
      </c>
      <c r="D70" s="1">
        <v>15</v>
      </c>
      <c r="E70" s="4">
        <v>0.49331999999999998</v>
      </c>
    </row>
    <row r="71" spans="1:5" x14ac:dyDescent="0.25">
      <c r="A71" s="3">
        <v>46319</v>
      </c>
      <c r="B71" s="1" t="s">
        <v>904</v>
      </c>
      <c r="C71" s="1" t="s">
        <v>907</v>
      </c>
      <c r="D71" s="1">
        <v>8</v>
      </c>
      <c r="E71" s="4">
        <v>0.30848999999999999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3"/>
  <sheetViews>
    <sheetView workbookViewId="0">
      <pane ySplit="1" topLeftCell="A2" activePane="bottomLeft" state="frozen"/>
      <selection pane="bottomLeft"/>
    </sheetView>
  </sheetViews>
  <sheetFormatPr defaultRowHeight="15" x14ac:dyDescent="0.25"/>
  <cols>
    <col min="1" max="1" width="12" customWidth="1"/>
    <col min="2" max="4" width="11" customWidth="1"/>
    <col min="5" max="5" width="10" customWidth="1"/>
    <col min="6" max="6" width="12" customWidth="1"/>
    <col min="7" max="7" width="46" customWidth="1"/>
    <col min="8" max="8" width="16" customWidth="1"/>
    <col min="9" max="9" width="10" customWidth="1"/>
  </cols>
  <sheetData>
    <row r="1" spans="1:9" x14ac:dyDescent="0.25">
      <c r="A1" s="2" t="s">
        <v>908</v>
      </c>
      <c r="B1" s="2" t="s">
        <v>909</v>
      </c>
      <c r="C1" s="2" t="s">
        <v>359</v>
      </c>
      <c r="D1" s="2" t="s">
        <v>2</v>
      </c>
      <c r="E1" s="2" t="s">
        <v>352</v>
      </c>
      <c r="F1" s="2" t="s">
        <v>33</v>
      </c>
      <c r="G1" s="2" t="s">
        <v>910</v>
      </c>
      <c r="H1" s="2" t="s">
        <v>911</v>
      </c>
      <c r="I1" s="2" t="s">
        <v>912</v>
      </c>
    </row>
    <row r="2" spans="1:9" x14ac:dyDescent="0.25">
      <c r="A2" s="3">
        <v>46309</v>
      </c>
      <c r="B2" s="1" t="s">
        <v>913</v>
      </c>
      <c r="C2" s="1" t="s">
        <v>13</v>
      </c>
      <c r="D2" s="1">
        <v>2</v>
      </c>
      <c r="E2" s="1">
        <v>6</v>
      </c>
      <c r="F2" s="4">
        <v>2.135999999999999E-2</v>
      </c>
      <c r="G2" s="1" t="s">
        <v>914</v>
      </c>
      <c r="H2" s="1" t="s">
        <v>915</v>
      </c>
      <c r="I2" s="1" t="s">
        <v>916</v>
      </c>
    </row>
    <row r="3" spans="1:9" x14ac:dyDescent="0.25">
      <c r="A3" s="3">
        <v>46309</v>
      </c>
      <c r="B3" s="1" t="s">
        <v>913</v>
      </c>
      <c r="C3" s="1" t="s">
        <v>13</v>
      </c>
      <c r="D3" s="1">
        <v>3</v>
      </c>
      <c r="E3" s="1">
        <v>1</v>
      </c>
      <c r="F3" s="4">
        <v>1.0200000000000001E-2</v>
      </c>
      <c r="G3" s="1" t="s">
        <v>914</v>
      </c>
      <c r="H3" s="1" t="s">
        <v>915</v>
      </c>
      <c r="I3" s="1" t="s">
        <v>917</v>
      </c>
    </row>
    <row r="4" spans="1:9" x14ac:dyDescent="0.25">
      <c r="A4" s="3">
        <v>46309</v>
      </c>
      <c r="B4" s="1" t="s">
        <v>913</v>
      </c>
      <c r="C4" s="1" t="s">
        <v>13</v>
      </c>
      <c r="D4" s="1">
        <v>3.5</v>
      </c>
      <c r="E4" s="1">
        <v>99</v>
      </c>
      <c r="F4" s="4">
        <v>1.039464999999999</v>
      </c>
      <c r="G4" s="1" t="s">
        <v>914</v>
      </c>
      <c r="H4" s="1" t="s">
        <v>915</v>
      </c>
      <c r="I4" s="1" t="s">
        <v>918</v>
      </c>
    </row>
    <row r="5" spans="1:9" x14ac:dyDescent="0.25">
      <c r="A5" s="3">
        <v>46309</v>
      </c>
      <c r="B5" s="1" t="s">
        <v>913</v>
      </c>
      <c r="C5" s="1" t="s">
        <v>13</v>
      </c>
      <c r="D5" s="1">
        <v>4</v>
      </c>
      <c r="E5" s="1">
        <v>1</v>
      </c>
      <c r="F5" s="4">
        <v>1.44E-2</v>
      </c>
      <c r="G5" s="1" t="s">
        <v>914</v>
      </c>
      <c r="H5" s="1" t="s">
        <v>915</v>
      </c>
      <c r="I5" s="1" t="s">
        <v>919</v>
      </c>
    </row>
    <row r="6" spans="1:9" x14ac:dyDescent="0.25">
      <c r="A6" s="3">
        <v>46309</v>
      </c>
      <c r="B6" s="1" t="s">
        <v>913</v>
      </c>
      <c r="C6" s="1" t="s">
        <v>13</v>
      </c>
      <c r="D6" s="1">
        <v>4.5</v>
      </c>
      <c r="E6" s="1">
        <v>167</v>
      </c>
      <c r="F6" s="4">
        <v>2.804219999999999</v>
      </c>
      <c r="G6" s="1" t="s">
        <v>914</v>
      </c>
      <c r="H6" s="1" t="s">
        <v>915</v>
      </c>
      <c r="I6" s="1" t="s">
        <v>920</v>
      </c>
    </row>
    <row r="7" spans="1:9" x14ac:dyDescent="0.25">
      <c r="A7" s="3">
        <v>46309</v>
      </c>
      <c r="B7" s="1" t="s">
        <v>913</v>
      </c>
      <c r="C7" s="1" t="s">
        <v>13</v>
      </c>
      <c r="D7" s="1">
        <v>5</v>
      </c>
      <c r="E7" s="1">
        <v>1</v>
      </c>
      <c r="F7" s="4">
        <v>0</v>
      </c>
      <c r="G7" s="1" t="s">
        <v>914</v>
      </c>
      <c r="H7" s="1" t="s">
        <v>915</v>
      </c>
      <c r="I7" s="1" t="s">
        <v>921</v>
      </c>
    </row>
    <row r="8" spans="1:9" x14ac:dyDescent="0.25">
      <c r="A8" s="3">
        <v>46309</v>
      </c>
      <c r="B8" s="1" t="s">
        <v>913</v>
      </c>
      <c r="C8" s="1" t="s">
        <v>13</v>
      </c>
      <c r="D8" s="1">
        <v>6</v>
      </c>
      <c r="E8" s="1">
        <v>240.98079999999999</v>
      </c>
      <c r="F8" s="4">
        <v>5.3697600000000003</v>
      </c>
      <c r="G8" s="1" t="s">
        <v>914</v>
      </c>
      <c r="H8" s="1" t="s">
        <v>915</v>
      </c>
      <c r="I8" s="1" t="s">
        <v>922</v>
      </c>
    </row>
    <row r="9" spans="1:9" x14ac:dyDescent="0.25">
      <c r="A9" s="3">
        <v>46309</v>
      </c>
      <c r="B9" s="1" t="s">
        <v>913</v>
      </c>
      <c r="C9" s="1" t="s">
        <v>13</v>
      </c>
      <c r="D9" s="1">
        <v>7</v>
      </c>
      <c r="E9" s="1">
        <v>263</v>
      </c>
      <c r="F9" s="4">
        <v>7.5186300000000008</v>
      </c>
      <c r="G9" s="1" t="s">
        <v>914</v>
      </c>
      <c r="H9" s="1" t="s">
        <v>915</v>
      </c>
      <c r="I9" s="1" t="s">
        <v>923</v>
      </c>
    </row>
    <row r="10" spans="1:9" x14ac:dyDescent="0.25">
      <c r="A10" s="3">
        <v>46309</v>
      </c>
      <c r="B10" s="1" t="s">
        <v>913</v>
      </c>
      <c r="C10" s="1" t="s">
        <v>13</v>
      </c>
      <c r="D10" s="1">
        <v>8</v>
      </c>
      <c r="E10" s="1">
        <v>75</v>
      </c>
      <c r="F10" s="4">
        <v>2.3652800000000012</v>
      </c>
      <c r="G10" s="1" t="s">
        <v>914</v>
      </c>
      <c r="H10" s="1" t="s">
        <v>915</v>
      </c>
      <c r="I10" s="1" t="s">
        <v>924</v>
      </c>
    </row>
    <row r="11" spans="1:9" x14ac:dyDescent="0.25">
      <c r="A11" s="3">
        <v>46309</v>
      </c>
      <c r="B11" s="1" t="s">
        <v>913</v>
      </c>
      <c r="C11" s="1" t="s">
        <v>15</v>
      </c>
      <c r="D11" s="1">
        <v>3</v>
      </c>
      <c r="E11" s="1">
        <v>300</v>
      </c>
      <c r="F11" s="4">
        <v>1.694871</v>
      </c>
      <c r="G11" s="1" t="s">
        <v>914</v>
      </c>
      <c r="H11" s="1" t="s">
        <v>915</v>
      </c>
      <c r="I11" s="1" t="s">
        <v>925</v>
      </c>
    </row>
    <row r="12" spans="1:9" x14ac:dyDescent="0.25">
      <c r="A12" s="3">
        <v>46309</v>
      </c>
      <c r="B12" s="1" t="s">
        <v>913</v>
      </c>
      <c r="C12" s="1" t="s">
        <v>15</v>
      </c>
      <c r="D12" s="1">
        <v>3.5</v>
      </c>
      <c r="E12" s="1">
        <v>338</v>
      </c>
      <c r="F12" s="4">
        <v>2.7637749999999999</v>
      </c>
      <c r="G12" s="1" t="s">
        <v>914</v>
      </c>
      <c r="H12" s="1" t="s">
        <v>915</v>
      </c>
      <c r="I12" s="1" t="s">
        <v>926</v>
      </c>
    </row>
    <row r="13" spans="1:9" x14ac:dyDescent="0.25">
      <c r="A13" s="3">
        <v>46309</v>
      </c>
      <c r="B13" s="1" t="s">
        <v>913</v>
      </c>
      <c r="C13" s="1" t="s">
        <v>15</v>
      </c>
      <c r="D13" s="1">
        <v>2.5</v>
      </c>
      <c r="E13" s="1">
        <v>18</v>
      </c>
      <c r="F13" s="4">
        <v>7.8225000000000017E-2</v>
      </c>
      <c r="G13" s="1" t="s">
        <v>914</v>
      </c>
      <c r="H13" s="1" t="s">
        <v>915</v>
      </c>
      <c r="I13" s="1" t="s">
        <v>927</v>
      </c>
    </row>
    <row r="14" spans="1:9" x14ac:dyDescent="0.25">
      <c r="A14" s="3">
        <v>46309</v>
      </c>
      <c r="B14" s="1" t="s">
        <v>913</v>
      </c>
      <c r="C14" s="1" t="s">
        <v>15</v>
      </c>
      <c r="D14" s="1">
        <v>4</v>
      </c>
      <c r="E14" s="1">
        <v>7</v>
      </c>
      <c r="F14" s="4">
        <v>0.13044</v>
      </c>
      <c r="G14" s="1" t="s">
        <v>914</v>
      </c>
      <c r="H14" s="1" t="s">
        <v>915</v>
      </c>
      <c r="I14" s="1" t="s">
        <v>928</v>
      </c>
    </row>
    <row r="15" spans="1:9" x14ac:dyDescent="0.25">
      <c r="A15" s="3">
        <v>46309</v>
      </c>
      <c r="B15" s="1" t="s">
        <v>913</v>
      </c>
      <c r="C15" s="1" t="s">
        <v>15</v>
      </c>
      <c r="D15" s="1">
        <v>4.5</v>
      </c>
      <c r="E15" s="1">
        <v>39</v>
      </c>
      <c r="F15" s="4">
        <v>0.39424500000000012</v>
      </c>
      <c r="G15" s="1" t="s">
        <v>914</v>
      </c>
      <c r="H15" s="1" t="s">
        <v>915</v>
      </c>
      <c r="I15" s="1" t="s">
        <v>929</v>
      </c>
    </row>
    <row r="16" spans="1:9" x14ac:dyDescent="0.25">
      <c r="A16" s="3">
        <v>46309</v>
      </c>
      <c r="B16" s="1" t="s">
        <v>913</v>
      </c>
      <c r="C16" s="1" t="s">
        <v>15</v>
      </c>
      <c r="D16" s="1">
        <v>5</v>
      </c>
      <c r="E16" s="1">
        <v>43</v>
      </c>
      <c r="F16" s="4">
        <v>0.42830000000000013</v>
      </c>
      <c r="G16" s="1" t="s">
        <v>914</v>
      </c>
      <c r="H16" s="1" t="s">
        <v>915</v>
      </c>
      <c r="I16" s="1" t="s">
        <v>930</v>
      </c>
    </row>
    <row r="17" spans="1:9" x14ac:dyDescent="0.25">
      <c r="A17" s="3">
        <v>46309</v>
      </c>
      <c r="B17" s="1" t="s">
        <v>913</v>
      </c>
      <c r="C17" s="1" t="s">
        <v>15</v>
      </c>
      <c r="D17" s="1">
        <v>5.5</v>
      </c>
      <c r="E17" s="1">
        <v>34</v>
      </c>
      <c r="F17" s="4">
        <v>0.40001500000000001</v>
      </c>
      <c r="G17" s="1" t="s">
        <v>914</v>
      </c>
      <c r="H17" s="1" t="s">
        <v>915</v>
      </c>
      <c r="I17" s="1" t="s">
        <v>931</v>
      </c>
    </row>
    <row r="18" spans="1:9" x14ac:dyDescent="0.25">
      <c r="A18" s="3">
        <v>46309</v>
      </c>
      <c r="B18" s="1" t="s">
        <v>913</v>
      </c>
      <c r="C18" s="1" t="s">
        <v>15</v>
      </c>
      <c r="D18" s="1">
        <v>7.5</v>
      </c>
      <c r="E18" s="1">
        <v>127</v>
      </c>
      <c r="F18" s="4">
        <v>2.7184499999999998</v>
      </c>
      <c r="G18" s="1" t="s">
        <v>914</v>
      </c>
      <c r="H18" s="1" t="s">
        <v>915</v>
      </c>
      <c r="I18" s="1" t="s">
        <v>932</v>
      </c>
    </row>
    <row r="19" spans="1:9" x14ac:dyDescent="0.25">
      <c r="A19" s="3">
        <v>46309</v>
      </c>
      <c r="B19" s="1" t="s">
        <v>913</v>
      </c>
      <c r="C19" s="1" t="s">
        <v>15</v>
      </c>
      <c r="D19" s="1">
        <v>8</v>
      </c>
      <c r="E19" s="1">
        <v>165</v>
      </c>
      <c r="F19" s="4">
        <v>3.76424</v>
      </c>
      <c r="G19" s="1" t="s">
        <v>914</v>
      </c>
      <c r="H19" s="1" t="s">
        <v>915</v>
      </c>
      <c r="I19" s="1" t="s">
        <v>933</v>
      </c>
    </row>
    <row r="20" spans="1:9" x14ac:dyDescent="0.25">
      <c r="A20" s="3">
        <v>46309</v>
      </c>
      <c r="B20" s="1" t="s">
        <v>913</v>
      </c>
      <c r="C20" s="1" t="s">
        <v>905</v>
      </c>
      <c r="D20" s="1">
        <v>2.5</v>
      </c>
      <c r="E20" s="1">
        <v>12</v>
      </c>
      <c r="F20" s="4">
        <v>4.8779999999999983E-2</v>
      </c>
      <c r="G20" s="1" t="s">
        <v>914</v>
      </c>
      <c r="H20" s="1" t="s">
        <v>915</v>
      </c>
      <c r="I20" s="1" t="s">
        <v>934</v>
      </c>
    </row>
    <row r="21" spans="1:9" x14ac:dyDescent="0.25">
      <c r="A21" s="3">
        <v>46309</v>
      </c>
      <c r="B21" s="1" t="s">
        <v>913</v>
      </c>
      <c r="C21" s="1" t="s">
        <v>905</v>
      </c>
      <c r="D21" s="1">
        <v>3.5</v>
      </c>
      <c r="E21" s="1">
        <v>8</v>
      </c>
      <c r="F21" s="4">
        <v>8.7674999999999614E-2</v>
      </c>
      <c r="G21" s="1" t="s">
        <v>914</v>
      </c>
      <c r="H21" s="1" t="s">
        <v>915</v>
      </c>
      <c r="I21" s="1" t="s">
        <v>935</v>
      </c>
    </row>
    <row r="22" spans="1:9" x14ac:dyDescent="0.25">
      <c r="A22" s="3">
        <v>46312</v>
      </c>
      <c r="B22" s="1" t="s">
        <v>881</v>
      </c>
      <c r="C22" s="1" t="s">
        <v>13</v>
      </c>
      <c r="D22" s="1">
        <v>2</v>
      </c>
      <c r="E22" s="1">
        <v>6</v>
      </c>
      <c r="F22" s="4">
        <v>2.135999999999999E-2</v>
      </c>
      <c r="G22" s="1" t="s">
        <v>914</v>
      </c>
      <c r="H22" s="1" t="s">
        <v>915</v>
      </c>
      <c r="I22" s="1" t="s">
        <v>936</v>
      </c>
    </row>
    <row r="23" spans="1:9" x14ac:dyDescent="0.25">
      <c r="A23" s="3">
        <v>46312</v>
      </c>
      <c r="B23" s="1" t="s">
        <v>881</v>
      </c>
      <c r="C23" s="1" t="s">
        <v>13</v>
      </c>
      <c r="D23" s="1">
        <v>3</v>
      </c>
      <c r="E23" s="1">
        <v>1</v>
      </c>
      <c r="F23" s="4">
        <v>1.0200000000000001E-2</v>
      </c>
      <c r="G23" s="1" t="s">
        <v>914</v>
      </c>
      <c r="H23" s="1" t="s">
        <v>915</v>
      </c>
      <c r="I23" s="1" t="s">
        <v>937</v>
      </c>
    </row>
    <row r="24" spans="1:9" x14ac:dyDescent="0.25">
      <c r="A24" s="3">
        <v>46312</v>
      </c>
      <c r="B24" s="1" t="s">
        <v>881</v>
      </c>
      <c r="C24" s="1" t="s">
        <v>13</v>
      </c>
      <c r="D24" s="1">
        <v>3.5</v>
      </c>
      <c r="E24" s="1">
        <v>74</v>
      </c>
      <c r="F24" s="4">
        <v>0.81511499999999915</v>
      </c>
      <c r="G24" s="1" t="s">
        <v>914</v>
      </c>
      <c r="H24" s="1" t="s">
        <v>915</v>
      </c>
      <c r="I24" s="1" t="s">
        <v>938</v>
      </c>
    </row>
    <row r="25" spans="1:9" x14ac:dyDescent="0.25">
      <c r="A25" s="3">
        <v>46312</v>
      </c>
      <c r="B25" s="1" t="s">
        <v>881</v>
      </c>
      <c r="C25" s="1" t="s">
        <v>13</v>
      </c>
      <c r="D25" s="1">
        <v>4</v>
      </c>
      <c r="E25" s="1">
        <v>1</v>
      </c>
      <c r="F25" s="4">
        <v>1.44E-2</v>
      </c>
      <c r="G25" s="1" t="s">
        <v>914</v>
      </c>
      <c r="H25" s="1" t="s">
        <v>915</v>
      </c>
      <c r="I25" s="1" t="s">
        <v>939</v>
      </c>
    </row>
    <row r="26" spans="1:9" x14ac:dyDescent="0.25">
      <c r="A26" s="3">
        <v>46312</v>
      </c>
      <c r="B26" s="1" t="s">
        <v>881</v>
      </c>
      <c r="C26" s="1" t="s">
        <v>13</v>
      </c>
      <c r="D26" s="1">
        <v>4.5</v>
      </c>
      <c r="E26" s="1">
        <v>162</v>
      </c>
      <c r="F26" s="4">
        <v>2.752019999999999</v>
      </c>
      <c r="G26" s="1" t="s">
        <v>914</v>
      </c>
      <c r="H26" s="1" t="s">
        <v>915</v>
      </c>
      <c r="I26" s="1" t="s">
        <v>940</v>
      </c>
    </row>
    <row r="27" spans="1:9" x14ac:dyDescent="0.25">
      <c r="A27" s="3">
        <v>46312</v>
      </c>
      <c r="B27" s="1" t="s">
        <v>881</v>
      </c>
      <c r="C27" s="1" t="s">
        <v>13</v>
      </c>
      <c r="D27" s="1">
        <v>5</v>
      </c>
      <c r="E27" s="1">
        <v>1</v>
      </c>
      <c r="F27" s="4">
        <v>0</v>
      </c>
      <c r="G27" s="1" t="s">
        <v>914</v>
      </c>
      <c r="H27" s="1" t="s">
        <v>915</v>
      </c>
      <c r="I27" s="1" t="s">
        <v>941</v>
      </c>
    </row>
    <row r="28" spans="1:9" x14ac:dyDescent="0.25">
      <c r="A28" s="3">
        <v>46312</v>
      </c>
      <c r="B28" s="1" t="s">
        <v>881</v>
      </c>
      <c r="C28" s="1" t="s">
        <v>13</v>
      </c>
      <c r="D28" s="1">
        <v>6</v>
      </c>
      <c r="E28" s="1">
        <v>240.98079999999999</v>
      </c>
      <c r="F28" s="4">
        <v>5.3697600000000003</v>
      </c>
      <c r="G28" s="1" t="s">
        <v>914</v>
      </c>
      <c r="H28" s="1" t="s">
        <v>915</v>
      </c>
      <c r="I28" s="1" t="s">
        <v>942</v>
      </c>
    </row>
    <row r="29" spans="1:9" x14ac:dyDescent="0.25">
      <c r="A29" s="3">
        <v>46312</v>
      </c>
      <c r="B29" s="1" t="s">
        <v>881</v>
      </c>
      <c r="C29" s="1" t="s">
        <v>13</v>
      </c>
      <c r="D29" s="1">
        <v>7</v>
      </c>
      <c r="E29" s="1">
        <v>263</v>
      </c>
      <c r="F29" s="4">
        <v>7.5186300000000008</v>
      </c>
      <c r="G29" s="1" t="s">
        <v>914</v>
      </c>
      <c r="H29" s="1" t="s">
        <v>915</v>
      </c>
      <c r="I29" s="1" t="s">
        <v>943</v>
      </c>
    </row>
    <row r="30" spans="1:9" x14ac:dyDescent="0.25">
      <c r="A30" s="3">
        <v>46312</v>
      </c>
      <c r="B30" s="1" t="s">
        <v>881</v>
      </c>
      <c r="C30" s="1" t="s">
        <v>13</v>
      </c>
      <c r="D30" s="1">
        <v>8</v>
      </c>
      <c r="E30" s="1">
        <v>75</v>
      </c>
      <c r="F30" s="4">
        <v>2.3652800000000012</v>
      </c>
      <c r="G30" s="1" t="s">
        <v>914</v>
      </c>
      <c r="H30" s="1" t="s">
        <v>915</v>
      </c>
      <c r="I30" s="1" t="s">
        <v>944</v>
      </c>
    </row>
    <row r="31" spans="1:9" x14ac:dyDescent="0.25">
      <c r="A31" s="3">
        <v>46312</v>
      </c>
      <c r="B31" s="1" t="s">
        <v>881</v>
      </c>
      <c r="C31" s="1" t="s">
        <v>15</v>
      </c>
      <c r="D31" s="1">
        <v>3</v>
      </c>
      <c r="E31" s="1">
        <v>300</v>
      </c>
      <c r="F31" s="4">
        <v>1.694871</v>
      </c>
      <c r="G31" s="1" t="s">
        <v>914</v>
      </c>
      <c r="H31" s="1" t="s">
        <v>915</v>
      </c>
      <c r="I31" s="1" t="s">
        <v>945</v>
      </c>
    </row>
    <row r="32" spans="1:9" x14ac:dyDescent="0.25">
      <c r="A32" s="3">
        <v>46312</v>
      </c>
      <c r="B32" s="1" t="s">
        <v>881</v>
      </c>
      <c r="C32" s="1" t="s">
        <v>15</v>
      </c>
      <c r="D32" s="1">
        <v>3.5</v>
      </c>
      <c r="E32" s="1">
        <v>338</v>
      </c>
      <c r="F32" s="4">
        <v>2.7637749999999999</v>
      </c>
      <c r="G32" s="1" t="s">
        <v>914</v>
      </c>
      <c r="H32" s="1" t="s">
        <v>915</v>
      </c>
      <c r="I32" s="1" t="s">
        <v>946</v>
      </c>
    </row>
    <row r="33" spans="1:9" x14ac:dyDescent="0.25">
      <c r="A33" s="3">
        <v>46312</v>
      </c>
      <c r="B33" s="1" t="s">
        <v>881</v>
      </c>
      <c r="C33" s="1" t="s">
        <v>15</v>
      </c>
      <c r="D33" s="1">
        <v>2.5</v>
      </c>
      <c r="E33" s="1">
        <v>18</v>
      </c>
      <c r="F33" s="4">
        <v>7.8225000000000017E-2</v>
      </c>
      <c r="G33" s="1" t="s">
        <v>914</v>
      </c>
      <c r="H33" s="1" t="s">
        <v>915</v>
      </c>
      <c r="I33" s="1" t="s">
        <v>947</v>
      </c>
    </row>
    <row r="34" spans="1:9" x14ac:dyDescent="0.25">
      <c r="A34" s="3">
        <v>46312</v>
      </c>
      <c r="B34" s="1" t="s">
        <v>881</v>
      </c>
      <c r="C34" s="1" t="s">
        <v>15</v>
      </c>
      <c r="D34" s="1">
        <v>4</v>
      </c>
      <c r="E34" s="1">
        <v>7</v>
      </c>
      <c r="F34" s="4">
        <v>0.13044</v>
      </c>
      <c r="G34" s="1" t="s">
        <v>914</v>
      </c>
      <c r="H34" s="1" t="s">
        <v>915</v>
      </c>
      <c r="I34" s="1" t="s">
        <v>948</v>
      </c>
    </row>
    <row r="35" spans="1:9" x14ac:dyDescent="0.25">
      <c r="A35" s="3">
        <v>46312</v>
      </c>
      <c r="B35" s="1" t="s">
        <v>881</v>
      </c>
      <c r="C35" s="1" t="s">
        <v>15</v>
      </c>
      <c r="D35" s="1">
        <v>4.5</v>
      </c>
      <c r="E35" s="1">
        <v>39</v>
      </c>
      <c r="F35" s="4">
        <v>0.39424500000000012</v>
      </c>
      <c r="G35" s="1" t="s">
        <v>914</v>
      </c>
      <c r="H35" s="1" t="s">
        <v>915</v>
      </c>
      <c r="I35" s="1" t="s">
        <v>949</v>
      </c>
    </row>
    <row r="36" spans="1:9" x14ac:dyDescent="0.25">
      <c r="A36" s="3">
        <v>46312</v>
      </c>
      <c r="B36" s="1" t="s">
        <v>881</v>
      </c>
      <c r="C36" s="1" t="s">
        <v>15</v>
      </c>
      <c r="D36" s="1">
        <v>5</v>
      </c>
      <c r="E36" s="1">
        <v>43</v>
      </c>
      <c r="F36" s="4">
        <v>0.42830000000000013</v>
      </c>
      <c r="G36" s="1" t="s">
        <v>914</v>
      </c>
      <c r="H36" s="1" t="s">
        <v>915</v>
      </c>
      <c r="I36" s="1" t="s">
        <v>950</v>
      </c>
    </row>
    <row r="37" spans="1:9" x14ac:dyDescent="0.25">
      <c r="A37" s="3">
        <v>46312</v>
      </c>
      <c r="B37" s="1" t="s">
        <v>881</v>
      </c>
      <c r="C37" s="1" t="s">
        <v>15</v>
      </c>
      <c r="D37" s="1">
        <v>5.5</v>
      </c>
      <c r="E37" s="1">
        <v>34</v>
      </c>
      <c r="F37" s="4">
        <v>0.40001500000000001</v>
      </c>
      <c r="G37" s="1" t="s">
        <v>914</v>
      </c>
      <c r="H37" s="1" t="s">
        <v>915</v>
      </c>
      <c r="I37" s="1" t="s">
        <v>951</v>
      </c>
    </row>
    <row r="38" spans="1:9" x14ac:dyDescent="0.25">
      <c r="A38" s="3">
        <v>46312</v>
      </c>
      <c r="B38" s="1" t="s">
        <v>881</v>
      </c>
      <c r="C38" s="1" t="s">
        <v>15</v>
      </c>
      <c r="D38" s="1">
        <v>7.5</v>
      </c>
      <c r="E38" s="1">
        <v>127</v>
      </c>
      <c r="F38" s="4">
        <v>2.7184499999999998</v>
      </c>
      <c r="G38" s="1" t="s">
        <v>914</v>
      </c>
      <c r="H38" s="1" t="s">
        <v>915</v>
      </c>
      <c r="I38" s="1" t="s">
        <v>952</v>
      </c>
    </row>
    <row r="39" spans="1:9" x14ac:dyDescent="0.25">
      <c r="A39" s="3">
        <v>46312</v>
      </c>
      <c r="B39" s="1" t="s">
        <v>881</v>
      </c>
      <c r="C39" s="1" t="s">
        <v>15</v>
      </c>
      <c r="D39" s="1">
        <v>8</v>
      </c>
      <c r="E39" s="1">
        <v>165</v>
      </c>
      <c r="F39" s="4">
        <v>3.76424</v>
      </c>
      <c r="G39" s="1" t="s">
        <v>914</v>
      </c>
      <c r="H39" s="1" t="s">
        <v>915</v>
      </c>
      <c r="I39" s="1" t="s">
        <v>953</v>
      </c>
    </row>
    <row r="40" spans="1:9" x14ac:dyDescent="0.25">
      <c r="A40" s="3">
        <v>46312</v>
      </c>
      <c r="B40" s="1" t="s">
        <v>881</v>
      </c>
      <c r="C40" s="1" t="s">
        <v>905</v>
      </c>
      <c r="D40" s="1">
        <v>2.5</v>
      </c>
      <c r="E40" s="1">
        <v>8</v>
      </c>
      <c r="F40" s="4">
        <v>3.4504999999999973E-2</v>
      </c>
      <c r="G40" s="1" t="s">
        <v>914</v>
      </c>
      <c r="H40" s="1" t="s">
        <v>915</v>
      </c>
      <c r="I40" s="1" t="s">
        <v>954</v>
      </c>
    </row>
    <row r="41" spans="1:9" x14ac:dyDescent="0.25">
      <c r="A41" s="3">
        <v>46312</v>
      </c>
      <c r="B41" s="1" t="s">
        <v>881</v>
      </c>
      <c r="C41" s="1" t="s">
        <v>905</v>
      </c>
      <c r="D41" s="1">
        <v>3.5</v>
      </c>
      <c r="E41" s="1">
        <v>8</v>
      </c>
      <c r="F41" s="4">
        <v>8.7674999999999614E-2</v>
      </c>
      <c r="G41" s="1" t="s">
        <v>914</v>
      </c>
      <c r="H41" s="1" t="s">
        <v>915</v>
      </c>
      <c r="I41" s="1" t="s">
        <v>955</v>
      </c>
    </row>
    <row r="42" spans="1:9" x14ac:dyDescent="0.25">
      <c r="A42" s="3">
        <v>46312</v>
      </c>
      <c r="B42" s="1" t="s">
        <v>913</v>
      </c>
      <c r="C42" s="1" t="s">
        <v>13</v>
      </c>
      <c r="D42" s="1">
        <v>2</v>
      </c>
      <c r="E42" s="1">
        <v>3.9807999999999999</v>
      </c>
      <c r="F42" s="4">
        <v>7.3599999999999898E-3</v>
      </c>
      <c r="G42" s="1" t="s">
        <v>914</v>
      </c>
      <c r="H42" s="1" t="s">
        <v>956</v>
      </c>
      <c r="I42" s="1" t="s">
        <v>916</v>
      </c>
    </row>
    <row r="43" spans="1:9" x14ac:dyDescent="0.25">
      <c r="A43" s="3">
        <v>46312</v>
      </c>
      <c r="B43" s="1" t="s">
        <v>913</v>
      </c>
      <c r="C43" s="1" t="s">
        <v>13</v>
      </c>
      <c r="D43" s="1">
        <v>3</v>
      </c>
      <c r="E43" s="1">
        <v>1</v>
      </c>
      <c r="F43" s="4">
        <v>1.0200000000000001E-2</v>
      </c>
      <c r="G43" s="1" t="s">
        <v>914</v>
      </c>
      <c r="H43" s="1" t="s">
        <v>956</v>
      </c>
      <c r="I43" s="1" t="s">
        <v>917</v>
      </c>
    </row>
    <row r="44" spans="1:9" x14ac:dyDescent="0.25">
      <c r="A44" s="3">
        <v>46312</v>
      </c>
      <c r="B44" s="1" t="s">
        <v>913</v>
      </c>
      <c r="C44" s="1" t="s">
        <v>13</v>
      </c>
      <c r="D44" s="1">
        <v>3.5</v>
      </c>
      <c r="E44" s="1">
        <v>0</v>
      </c>
      <c r="F44" s="4">
        <v>0</v>
      </c>
      <c r="G44" s="1" t="s">
        <v>914</v>
      </c>
      <c r="H44" s="1" t="s">
        <v>956</v>
      </c>
      <c r="I44" s="1" t="s">
        <v>918</v>
      </c>
    </row>
    <row r="45" spans="1:9" x14ac:dyDescent="0.25">
      <c r="A45" s="3">
        <v>46312</v>
      </c>
      <c r="B45" s="1" t="s">
        <v>913</v>
      </c>
      <c r="C45" s="1" t="s">
        <v>13</v>
      </c>
      <c r="D45" s="1">
        <v>4</v>
      </c>
      <c r="E45" s="1">
        <v>1</v>
      </c>
      <c r="F45" s="4">
        <v>1.44E-2</v>
      </c>
      <c r="G45" s="1" t="s">
        <v>914</v>
      </c>
      <c r="H45" s="1" t="s">
        <v>956</v>
      </c>
      <c r="I45" s="1" t="s">
        <v>919</v>
      </c>
    </row>
    <row r="46" spans="1:9" x14ac:dyDescent="0.25">
      <c r="A46" s="3">
        <v>46312</v>
      </c>
      <c r="B46" s="1" t="s">
        <v>913</v>
      </c>
      <c r="C46" s="1" t="s">
        <v>13</v>
      </c>
      <c r="D46" s="1">
        <v>4.5</v>
      </c>
      <c r="E46" s="1">
        <v>114</v>
      </c>
      <c r="F46" s="4">
        <v>1.8944799999999991</v>
      </c>
      <c r="G46" s="1" t="s">
        <v>914</v>
      </c>
      <c r="H46" s="1" t="s">
        <v>956</v>
      </c>
      <c r="I46" s="1" t="s">
        <v>920</v>
      </c>
    </row>
    <row r="47" spans="1:9" x14ac:dyDescent="0.25">
      <c r="A47" s="3">
        <v>46312</v>
      </c>
      <c r="B47" s="1" t="s">
        <v>913</v>
      </c>
      <c r="C47" s="1" t="s">
        <v>13</v>
      </c>
      <c r="D47" s="1">
        <v>5</v>
      </c>
      <c r="E47" s="1">
        <v>1</v>
      </c>
      <c r="F47" s="4">
        <v>0</v>
      </c>
      <c r="G47" s="1" t="s">
        <v>914</v>
      </c>
      <c r="H47" s="1" t="s">
        <v>956</v>
      </c>
      <c r="I47" s="1" t="s">
        <v>921</v>
      </c>
    </row>
    <row r="48" spans="1:9" x14ac:dyDescent="0.25">
      <c r="A48" s="3">
        <v>46312</v>
      </c>
      <c r="B48" s="1" t="s">
        <v>913</v>
      </c>
      <c r="C48" s="1" t="s">
        <v>13</v>
      </c>
      <c r="D48" s="1">
        <v>6</v>
      </c>
      <c r="E48" s="1">
        <v>240.98079999999999</v>
      </c>
      <c r="F48" s="4">
        <v>5.3697600000000003</v>
      </c>
      <c r="G48" s="1" t="s">
        <v>914</v>
      </c>
      <c r="H48" s="1" t="s">
        <v>956</v>
      </c>
      <c r="I48" s="1" t="s">
        <v>922</v>
      </c>
    </row>
    <row r="49" spans="1:9" x14ac:dyDescent="0.25">
      <c r="A49" s="3">
        <v>46312</v>
      </c>
      <c r="B49" s="1" t="s">
        <v>913</v>
      </c>
      <c r="C49" s="1" t="s">
        <v>13</v>
      </c>
      <c r="D49" s="1">
        <v>7</v>
      </c>
      <c r="E49" s="1">
        <v>224.98572999999999</v>
      </c>
      <c r="F49" s="4">
        <v>7.8310260000000014</v>
      </c>
      <c r="G49" s="1" t="s">
        <v>914</v>
      </c>
      <c r="H49" s="1" t="s">
        <v>956</v>
      </c>
      <c r="I49" s="1" t="s">
        <v>923</v>
      </c>
    </row>
    <row r="50" spans="1:9" x14ac:dyDescent="0.25">
      <c r="A50" s="3">
        <v>46312</v>
      </c>
      <c r="B50" s="1" t="s">
        <v>913</v>
      </c>
      <c r="C50" s="1" t="s">
        <v>13</v>
      </c>
      <c r="D50" s="1">
        <v>8</v>
      </c>
      <c r="E50" s="1">
        <v>75</v>
      </c>
      <c r="F50" s="4">
        <v>2.3652800000000012</v>
      </c>
      <c r="G50" s="1" t="s">
        <v>914</v>
      </c>
      <c r="H50" s="1" t="s">
        <v>956</v>
      </c>
      <c r="I50" s="1" t="s">
        <v>924</v>
      </c>
    </row>
    <row r="51" spans="1:9" x14ac:dyDescent="0.25">
      <c r="A51" s="3">
        <v>46312</v>
      </c>
      <c r="B51" s="1" t="s">
        <v>913</v>
      </c>
      <c r="C51" s="1" t="s">
        <v>15</v>
      </c>
      <c r="D51" s="1">
        <v>3</v>
      </c>
      <c r="E51" s="1">
        <v>300</v>
      </c>
      <c r="F51" s="4">
        <v>1.694871</v>
      </c>
      <c r="G51" s="1" t="s">
        <v>914</v>
      </c>
      <c r="H51" s="1" t="s">
        <v>956</v>
      </c>
      <c r="I51" s="1" t="s">
        <v>925</v>
      </c>
    </row>
    <row r="52" spans="1:9" x14ac:dyDescent="0.25">
      <c r="A52" s="3">
        <v>46312</v>
      </c>
      <c r="B52" s="1" t="s">
        <v>913</v>
      </c>
      <c r="C52" s="1" t="s">
        <v>15</v>
      </c>
      <c r="D52" s="1">
        <v>3.5</v>
      </c>
      <c r="E52" s="1">
        <v>338</v>
      </c>
      <c r="F52" s="4">
        <v>2.7637749999999999</v>
      </c>
      <c r="G52" s="1" t="s">
        <v>914</v>
      </c>
      <c r="H52" s="1" t="s">
        <v>956</v>
      </c>
      <c r="I52" s="1" t="s">
        <v>926</v>
      </c>
    </row>
    <row r="53" spans="1:9" x14ac:dyDescent="0.25">
      <c r="A53" s="3">
        <v>46312</v>
      </c>
      <c r="B53" s="1" t="s">
        <v>913</v>
      </c>
      <c r="C53" s="1" t="s">
        <v>15</v>
      </c>
      <c r="D53" s="1">
        <v>2.5</v>
      </c>
      <c r="E53" s="1">
        <v>18</v>
      </c>
      <c r="F53" s="4">
        <v>7.8225000000000017E-2</v>
      </c>
      <c r="G53" s="1" t="s">
        <v>914</v>
      </c>
      <c r="H53" s="1" t="s">
        <v>956</v>
      </c>
      <c r="I53" s="1" t="s">
        <v>927</v>
      </c>
    </row>
    <row r="54" spans="1:9" x14ac:dyDescent="0.25">
      <c r="A54" s="3">
        <v>46312</v>
      </c>
      <c r="B54" s="1" t="s">
        <v>913</v>
      </c>
      <c r="C54" s="1" t="s">
        <v>15</v>
      </c>
      <c r="D54" s="1">
        <v>4</v>
      </c>
      <c r="E54" s="1">
        <v>7</v>
      </c>
      <c r="F54" s="4">
        <v>0.13044</v>
      </c>
      <c r="G54" s="1" t="s">
        <v>914</v>
      </c>
      <c r="H54" s="1" t="s">
        <v>956</v>
      </c>
      <c r="I54" s="1" t="s">
        <v>928</v>
      </c>
    </row>
    <row r="55" spans="1:9" x14ac:dyDescent="0.25">
      <c r="A55" s="3">
        <v>46312</v>
      </c>
      <c r="B55" s="1" t="s">
        <v>913</v>
      </c>
      <c r="C55" s="1" t="s">
        <v>15</v>
      </c>
      <c r="D55" s="1">
        <v>4.5</v>
      </c>
      <c r="E55" s="1">
        <v>39</v>
      </c>
      <c r="F55" s="4">
        <v>0.39424500000000012</v>
      </c>
      <c r="G55" s="1" t="s">
        <v>914</v>
      </c>
      <c r="H55" s="1" t="s">
        <v>956</v>
      </c>
      <c r="I55" s="1" t="s">
        <v>929</v>
      </c>
    </row>
    <row r="56" spans="1:9" x14ac:dyDescent="0.25">
      <c r="A56" s="3">
        <v>46312</v>
      </c>
      <c r="B56" s="1" t="s">
        <v>913</v>
      </c>
      <c r="C56" s="1" t="s">
        <v>15</v>
      </c>
      <c r="D56" s="1">
        <v>5</v>
      </c>
      <c r="E56" s="1">
        <v>43</v>
      </c>
      <c r="F56" s="4">
        <v>0.42830000000000013</v>
      </c>
      <c r="G56" s="1" t="s">
        <v>914</v>
      </c>
      <c r="H56" s="1" t="s">
        <v>956</v>
      </c>
      <c r="I56" s="1" t="s">
        <v>930</v>
      </c>
    </row>
    <row r="57" spans="1:9" x14ac:dyDescent="0.25">
      <c r="A57" s="3">
        <v>46312</v>
      </c>
      <c r="B57" s="1" t="s">
        <v>913</v>
      </c>
      <c r="C57" s="1" t="s">
        <v>15</v>
      </c>
      <c r="D57" s="1">
        <v>5.5</v>
      </c>
      <c r="E57" s="1">
        <v>34</v>
      </c>
      <c r="F57" s="4">
        <v>0.40001500000000001</v>
      </c>
      <c r="G57" s="1" t="s">
        <v>914</v>
      </c>
      <c r="H57" s="1" t="s">
        <v>956</v>
      </c>
      <c r="I57" s="1" t="s">
        <v>931</v>
      </c>
    </row>
    <row r="58" spans="1:9" x14ac:dyDescent="0.25">
      <c r="A58" s="3">
        <v>46312</v>
      </c>
      <c r="B58" s="1" t="s">
        <v>913</v>
      </c>
      <c r="C58" s="1" t="s">
        <v>15</v>
      </c>
      <c r="D58" s="1">
        <v>7.5</v>
      </c>
      <c r="E58" s="1">
        <v>127</v>
      </c>
      <c r="F58" s="4">
        <v>2.7184499999999998</v>
      </c>
      <c r="G58" s="1" t="s">
        <v>914</v>
      </c>
      <c r="H58" s="1" t="s">
        <v>956</v>
      </c>
      <c r="I58" s="1" t="s">
        <v>932</v>
      </c>
    </row>
    <row r="59" spans="1:9" x14ac:dyDescent="0.25">
      <c r="A59" s="3">
        <v>46312</v>
      </c>
      <c r="B59" s="1" t="s">
        <v>913</v>
      </c>
      <c r="C59" s="1" t="s">
        <v>15</v>
      </c>
      <c r="D59" s="1">
        <v>8</v>
      </c>
      <c r="E59" s="1">
        <v>165</v>
      </c>
      <c r="F59" s="4">
        <v>3.76424</v>
      </c>
      <c r="G59" s="1" t="s">
        <v>914</v>
      </c>
      <c r="H59" s="1" t="s">
        <v>956</v>
      </c>
      <c r="I59" s="1" t="s">
        <v>933</v>
      </c>
    </row>
    <row r="60" spans="1:9" x14ac:dyDescent="0.25">
      <c r="A60" s="3">
        <v>46312</v>
      </c>
      <c r="B60" s="1" t="s">
        <v>913</v>
      </c>
      <c r="C60" s="1" t="s">
        <v>905</v>
      </c>
      <c r="D60" s="1">
        <v>2.5</v>
      </c>
      <c r="E60" s="1">
        <v>8</v>
      </c>
      <c r="F60" s="4">
        <v>3.4504999999999973E-2</v>
      </c>
      <c r="G60" s="1" t="s">
        <v>914</v>
      </c>
      <c r="H60" s="1" t="s">
        <v>956</v>
      </c>
      <c r="I60" s="1" t="s">
        <v>934</v>
      </c>
    </row>
    <row r="61" spans="1:9" x14ac:dyDescent="0.25">
      <c r="A61" s="3">
        <v>46312</v>
      </c>
      <c r="B61" s="1" t="s">
        <v>913</v>
      </c>
      <c r="C61" s="1" t="s">
        <v>905</v>
      </c>
      <c r="D61" s="1">
        <v>3.5</v>
      </c>
      <c r="E61" s="1">
        <v>8</v>
      </c>
      <c r="F61" s="4">
        <v>8.7674999999999614E-2</v>
      </c>
      <c r="G61" s="1" t="s">
        <v>914</v>
      </c>
      <c r="H61" s="1" t="s">
        <v>956</v>
      </c>
      <c r="I61" s="1" t="s">
        <v>935</v>
      </c>
    </row>
    <row r="62" spans="1:9" x14ac:dyDescent="0.25">
      <c r="A62" s="3">
        <v>46316</v>
      </c>
      <c r="B62" s="1" t="s">
        <v>881</v>
      </c>
      <c r="C62" s="1" t="s">
        <v>13</v>
      </c>
      <c r="D62" s="1">
        <v>2</v>
      </c>
      <c r="E62" s="1">
        <v>3.9807999999999999</v>
      </c>
      <c r="F62" s="4">
        <v>7.3599999999999898E-3</v>
      </c>
      <c r="G62" s="1" t="s">
        <v>914</v>
      </c>
      <c r="H62" s="1" t="s">
        <v>956</v>
      </c>
      <c r="I62" s="1" t="s">
        <v>936</v>
      </c>
    </row>
    <row r="63" spans="1:9" x14ac:dyDescent="0.25">
      <c r="A63" s="3">
        <v>46316</v>
      </c>
      <c r="B63" s="1" t="s">
        <v>881</v>
      </c>
      <c r="C63" s="1" t="s">
        <v>13</v>
      </c>
      <c r="D63" s="1">
        <v>3</v>
      </c>
      <c r="E63" s="1">
        <v>1</v>
      </c>
      <c r="F63" s="4">
        <v>1.0200000000000001E-2</v>
      </c>
      <c r="G63" s="1" t="s">
        <v>914</v>
      </c>
      <c r="H63" s="1" t="s">
        <v>956</v>
      </c>
      <c r="I63" s="1" t="s">
        <v>937</v>
      </c>
    </row>
    <row r="64" spans="1:9" x14ac:dyDescent="0.25">
      <c r="A64" s="3">
        <v>46316</v>
      </c>
      <c r="B64" s="1" t="s">
        <v>881</v>
      </c>
      <c r="C64" s="1" t="s">
        <v>13</v>
      </c>
      <c r="D64" s="1">
        <v>3.5</v>
      </c>
      <c r="E64" s="1">
        <v>176</v>
      </c>
      <c r="F64" s="4">
        <v>1.635165</v>
      </c>
      <c r="G64" s="1" t="s">
        <v>914</v>
      </c>
      <c r="H64" s="1" t="s">
        <v>956</v>
      </c>
      <c r="I64" s="1" t="s">
        <v>938</v>
      </c>
    </row>
    <row r="65" spans="1:9" x14ac:dyDescent="0.25">
      <c r="A65" s="3">
        <v>46316</v>
      </c>
      <c r="B65" s="1" t="s">
        <v>881</v>
      </c>
      <c r="C65" s="1" t="s">
        <v>13</v>
      </c>
      <c r="D65" s="1">
        <v>4</v>
      </c>
      <c r="E65" s="1">
        <v>1</v>
      </c>
      <c r="F65" s="4">
        <v>1.44E-2</v>
      </c>
      <c r="G65" s="1" t="s">
        <v>914</v>
      </c>
      <c r="H65" s="1" t="s">
        <v>956</v>
      </c>
      <c r="I65" s="1" t="s">
        <v>939</v>
      </c>
    </row>
    <row r="66" spans="1:9" x14ac:dyDescent="0.25">
      <c r="A66" s="3">
        <v>46316</v>
      </c>
      <c r="B66" s="1" t="s">
        <v>881</v>
      </c>
      <c r="C66" s="1" t="s">
        <v>13</v>
      </c>
      <c r="D66" s="1">
        <v>4.5</v>
      </c>
      <c r="E66" s="1">
        <v>0</v>
      </c>
      <c r="F66" s="4">
        <v>0</v>
      </c>
      <c r="G66" s="1" t="s">
        <v>914</v>
      </c>
      <c r="H66" s="1" t="s">
        <v>956</v>
      </c>
      <c r="I66" s="1" t="s">
        <v>940</v>
      </c>
    </row>
    <row r="67" spans="1:9" x14ac:dyDescent="0.25">
      <c r="A67" s="3">
        <v>46316</v>
      </c>
      <c r="B67" s="1" t="s">
        <v>881</v>
      </c>
      <c r="C67" s="1" t="s">
        <v>13</v>
      </c>
      <c r="D67" s="1">
        <v>5</v>
      </c>
      <c r="E67" s="1">
        <v>1</v>
      </c>
      <c r="F67" s="4">
        <v>0</v>
      </c>
      <c r="G67" s="1" t="s">
        <v>914</v>
      </c>
      <c r="H67" s="1" t="s">
        <v>956</v>
      </c>
      <c r="I67" s="1" t="s">
        <v>941</v>
      </c>
    </row>
    <row r="68" spans="1:9" x14ac:dyDescent="0.25">
      <c r="A68" s="3">
        <v>46316</v>
      </c>
      <c r="B68" s="1" t="s">
        <v>881</v>
      </c>
      <c r="C68" s="1" t="s">
        <v>13</v>
      </c>
      <c r="D68" s="1">
        <v>6</v>
      </c>
      <c r="E68" s="1">
        <v>207.743425</v>
      </c>
      <c r="F68" s="4">
        <v>4.5392400000000004</v>
      </c>
      <c r="G68" s="1" t="s">
        <v>914</v>
      </c>
      <c r="H68" s="1" t="s">
        <v>956</v>
      </c>
      <c r="I68" s="1" t="s">
        <v>942</v>
      </c>
    </row>
    <row r="69" spans="1:9" x14ac:dyDescent="0.25">
      <c r="A69" s="3">
        <v>46316</v>
      </c>
      <c r="B69" s="1" t="s">
        <v>881</v>
      </c>
      <c r="C69" s="1" t="s">
        <v>13</v>
      </c>
      <c r="D69" s="1">
        <v>7</v>
      </c>
      <c r="E69" s="1">
        <v>224.98572999999999</v>
      </c>
      <c r="F69" s="4">
        <v>7.8310260000000014</v>
      </c>
      <c r="G69" s="1" t="s">
        <v>914</v>
      </c>
      <c r="H69" s="1" t="s">
        <v>956</v>
      </c>
      <c r="I69" s="1" t="s">
        <v>943</v>
      </c>
    </row>
    <row r="70" spans="1:9" x14ac:dyDescent="0.25">
      <c r="A70" s="3">
        <v>46316</v>
      </c>
      <c r="B70" s="1" t="s">
        <v>881</v>
      </c>
      <c r="C70" s="1" t="s">
        <v>13</v>
      </c>
      <c r="D70" s="1">
        <v>8</v>
      </c>
      <c r="E70" s="1">
        <v>75</v>
      </c>
      <c r="F70" s="4">
        <v>2.3652800000000012</v>
      </c>
      <c r="G70" s="1" t="s">
        <v>914</v>
      </c>
      <c r="H70" s="1" t="s">
        <v>956</v>
      </c>
      <c r="I70" s="1" t="s">
        <v>944</v>
      </c>
    </row>
    <row r="71" spans="1:9" x14ac:dyDescent="0.25">
      <c r="A71" s="3">
        <v>46316</v>
      </c>
      <c r="B71" s="1" t="s">
        <v>881</v>
      </c>
      <c r="C71" s="1" t="s">
        <v>15</v>
      </c>
      <c r="D71" s="1">
        <v>3</v>
      </c>
      <c r="E71" s="1">
        <v>255</v>
      </c>
      <c r="F71" s="4">
        <v>1.387281</v>
      </c>
      <c r="G71" s="1" t="s">
        <v>914</v>
      </c>
      <c r="H71" s="1" t="s">
        <v>956</v>
      </c>
      <c r="I71" s="1" t="s">
        <v>945</v>
      </c>
    </row>
    <row r="72" spans="1:9" x14ac:dyDescent="0.25">
      <c r="A72" s="3">
        <v>46316</v>
      </c>
      <c r="B72" s="1" t="s">
        <v>881</v>
      </c>
      <c r="C72" s="1" t="s">
        <v>15</v>
      </c>
      <c r="D72" s="1">
        <v>3.5</v>
      </c>
      <c r="E72" s="1">
        <v>320</v>
      </c>
      <c r="F72" s="4">
        <v>2.609775</v>
      </c>
      <c r="G72" s="1" t="s">
        <v>914</v>
      </c>
      <c r="H72" s="1" t="s">
        <v>956</v>
      </c>
      <c r="I72" s="1" t="s">
        <v>946</v>
      </c>
    </row>
    <row r="73" spans="1:9" x14ac:dyDescent="0.25">
      <c r="A73" s="3">
        <v>46316</v>
      </c>
      <c r="B73" s="1" t="s">
        <v>881</v>
      </c>
      <c r="C73" s="1" t="s">
        <v>15</v>
      </c>
      <c r="D73" s="1">
        <v>2.5</v>
      </c>
      <c r="E73" s="1">
        <v>18</v>
      </c>
      <c r="F73" s="4">
        <v>7.8225000000000017E-2</v>
      </c>
      <c r="G73" s="1" t="s">
        <v>914</v>
      </c>
      <c r="H73" s="1" t="s">
        <v>956</v>
      </c>
      <c r="I73" s="1" t="s">
        <v>947</v>
      </c>
    </row>
    <row r="74" spans="1:9" x14ac:dyDescent="0.25">
      <c r="A74" s="3">
        <v>46316</v>
      </c>
      <c r="B74" s="1" t="s">
        <v>881</v>
      </c>
      <c r="C74" s="1" t="s">
        <v>15</v>
      </c>
      <c r="D74" s="1">
        <v>4</v>
      </c>
      <c r="E74" s="1">
        <v>7</v>
      </c>
      <c r="F74" s="4">
        <v>0.13044</v>
      </c>
      <c r="G74" s="1" t="s">
        <v>914</v>
      </c>
      <c r="H74" s="1" t="s">
        <v>956</v>
      </c>
      <c r="I74" s="1" t="s">
        <v>948</v>
      </c>
    </row>
    <row r="75" spans="1:9" x14ac:dyDescent="0.25">
      <c r="A75" s="3">
        <v>46316</v>
      </c>
      <c r="B75" s="1" t="s">
        <v>881</v>
      </c>
      <c r="C75" s="1" t="s">
        <v>15</v>
      </c>
      <c r="D75" s="1">
        <v>4.5</v>
      </c>
      <c r="E75" s="1">
        <v>39</v>
      </c>
      <c r="F75" s="4">
        <v>0.39424500000000012</v>
      </c>
      <c r="G75" s="1" t="s">
        <v>914</v>
      </c>
      <c r="H75" s="1" t="s">
        <v>956</v>
      </c>
      <c r="I75" s="1" t="s">
        <v>949</v>
      </c>
    </row>
    <row r="76" spans="1:9" x14ac:dyDescent="0.25">
      <c r="A76" s="3">
        <v>46316</v>
      </c>
      <c r="B76" s="1" t="s">
        <v>881</v>
      </c>
      <c r="C76" s="1" t="s">
        <v>15</v>
      </c>
      <c r="D76" s="1">
        <v>5</v>
      </c>
      <c r="E76" s="1">
        <v>43</v>
      </c>
      <c r="F76" s="4">
        <v>0.42830000000000013</v>
      </c>
      <c r="G76" s="1" t="s">
        <v>914</v>
      </c>
      <c r="H76" s="1" t="s">
        <v>956</v>
      </c>
      <c r="I76" s="1" t="s">
        <v>950</v>
      </c>
    </row>
    <row r="77" spans="1:9" x14ac:dyDescent="0.25">
      <c r="A77" s="3">
        <v>46316</v>
      </c>
      <c r="B77" s="1" t="s">
        <v>881</v>
      </c>
      <c r="C77" s="1" t="s">
        <v>15</v>
      </c>
      <c r="D77" s="1">
        <v>5.5</v>
      </c>
      <c r="E77" s="1">
        <v>34</v>
      </c>
      <c r="F77" s="4">
        <v>0.40001500000000001</v>
      </c>
      <c r="G77" s="1" t="s">
        <v>914</v>
      </c>
      <c r="H77" s="1" t="s">
        <v>956</v>
      </c>
      <c r="I77" s="1" t="s">
        <v>951</v>
      </c>
    </row>
    <row r="78" spans="1:9" x14ac:dyDescent="0.25">
      <c r="A78" s="3">
        <v>46316</v>
      </c>
      <c r="B78" s="1" t="s">
        <v>881</v>
      </c>
      <c r="C78" s="1" t="s">
        <v>15</v>
      </c>
      <c r="D78" s="1">
        <v>7.5</v>
      </c>
      <c r="E78" s="1">
        <v>127</v>
      </c>
      <c r="F78" s="4">
        <v>2.7184499999999998</v>
      </c>
      <c r="G78" s="1" t="s">
        <v>914</v>
      </c>
      <c r="H78" s="1" t="s">
        <v>956</v>
      </c>
      <c r="I78" s="1" t="s">
        <v>952</v>
      </c>
    </row>
    <row r="79" spans="1:9" x14ac:dyDescent="0.25">
      <c r="A79" s="3">
        <v>46316</v>
      </c>
      <c r="B79" s="1" t="s">
        <v>881</v>
      </c>
      <c r="C79" s="1" t="s">
        <v>15</v>
      </c>
      <c r="D79" s="1">
        <v>8</v>
      </c>
      <c r="E79" s="1">
        <v>165</v>
      </c>
      <c r="F79" s="4">
        <v>3.76424</v>
      </c>
      <c r="G79" s="1" t="s">
        <v>914</v>
      </c>
      <c r="H79" s="1" t="s">
        <v>956</v>
      </c>
      <c r="I79" s="1" t="s">
        <v>953</v>
      </c>
    </row>
    <row r="80" spans="1:9" x14ac:dyDescent="0.25">
      <c r="A80" s="3">
        <v>46316</v>
      </c>
      <c r="B80" s="1" t="s">
        <v>881</v>
      </c>
      <c r="C80" s="1" t="s">
        <v>905</v>
      </c>
      <c r="D80" s="1">
        <v>2.5</v>
      </c>
      <c r="E80" s="1">
        <v>8</v>
      </c>
      <c r="F80" s="4">
        <v>3.4504999999999973E-2</v>
      </c>
      <c r="G80" s="1" t="s">
        <v>914</v>
      </c>
      <c r="H80" s="1" t="s">
        <v>956</v>
      </c>
      <c r="I80" s="1" t="s">
        <v>954</v>
      </c>
    </row>
    <row r="81" spans="1:9" x14ac:dyDescent="0.25">
      <c r="A81" s="3">
        <v>46316</v>
      </c>
      <c r="B81" s="1" t="s">
        <v>881</v>
      </c>
      <c r="C81" s="1" t="s">
        <v>905</v>
      </c>
      <c r="D81" s="1">
        <v>3.5</v>
      </c>
      <c r="E81" s="1">
        <v>8</v>
      </c>
      <c r="F81" s="4">
        <v>8.7674999999999614E-2</v>
      </c>
      <c r="G81" s="1" t="s">
        <v>914</v>
      </c>
      <c r="H81" s="1" t="s">
        <v>956</v>
      </c>
      <c r="I81" s="1" t="s">
        <v>955</v>
      </c>
    </row>
    <row r="82" spans="1:9" x14ac:dyDescent="0.25">
      <c r="A82" s="3">
        <v>46319</v>
      </c>
      <c r="B82" s="1" t="s">
        <v>913</v>
      </c>
      <c r="C82" s="1" t="s">
        <v>13</v>
      </c>
      <c r="D82" s="1">
        <v>2</v>
      </c>
      <c r="E82" s="1">
        <v>3.9807999999999999</v>
      </c>
      <c r="F82" s="4">
        <v>7.3599999999999898E-3</v>
      </c>
      <c r="G82" s="1" t="s">
        <v>914</v>
      </c>
      <c r="H82" s="1" t="s">
        <v>957</v>
      </c>
      <c r="I82" s="1" t="s">
        <v>916</v>
      </c>
    </row>
    <row r="83" spans="1:9" x14ac:dyDescent="0.25">
      <c r="A83" s="3">
        <v>46319</v>
      </c>
      <c r="B83" s="1" t="s">
        <v>913</v>
      </c>
      <c r="C83" s="1" t="s">
        <v>13</v>
      </c>
      <c r="D83" s="1">
        <v>3</v>
      </c>
      <c r="E83" s="1">
        <v>1</v>
      </c>
      <c r="F83" s="4">
        <v>1.0200000000000001E-2</v>
      </c>
      <c r="G83" s="1" t="s">
        <v>914</v>
      </c>
      <c r="H83" s="1" t="s">
        <v>957</v>
      </c>
      <c r="I83" s="1" t="s">
        <v>917</v>
      </c>
    </row>
    <row r="84" spans="1:9" x14ac:dyDescent="0.25">
      <c r="A84" s="3">
        <v>46319</v>
      </c>
      <c r="B84" s="1" t="s">
        <v>913</v>
      </c>
      <c r="C84" s="1" t="s">
        <v>13</v>
      </c>
      <c r="D84" s="1">
        <v>3.5</v>
      </c>
      <c r="E84" s="1">
        <v>242</v>
      </c>
      <c r="F84" s="4">
        <v>2.13171</v>
      </c>
      <c r="G84" s="1" t="s">
        <v>914</v>
      </c>
      <c r="H84" s="1" t="s">
        <v>957</v>
      </c>
      <c r="I84" s="1" t="s">
        <v>918</v>
      </c>
    </row>
    <row r="85" spans="1:9" x14ac:dyDescent="0.25">
      <c r="A85" s="3">
        <v>46319</v>
      </c>
      <c r="B85" s="1" t="s">
        <v>913</v>
      </c>
      <c r="C85" s="1" t="s">
        <v>13</v>
      </c>
      <c r="D85" s="1">
        <v>4</v>
      </c>
      <c r="E85" s="1">
        <v>1</v>
      </c>
      <c r="F85" s="4">
        <v>1.44E-2</v>
      </c>
      <c r="G85" s="1" t="s">
        <v>914</v>
      </c>
      <c r="H85" s="1" t="s">
        <v>957</v>
      </c>
      <c r="I85" s="1" t="s">
        <v>919</v>
      </c>
    </row>
    <row r="86" spans="1:9" x14ac:dyDescent="0.25">
      <c r="A86" s="3">
        <v>46319</v>
      </c>
      <c r="B86" s="1" t="s">
        <v>913</v>
      </c>
      <c r="C86" s="1" t="s">
        <v>13</v>
      </c>
      <c r="D86" s="1">
        <v>4.5</v>
      </c>
      <c r="E86" s="1">
        <v>57</v>
      </c>
      <c r="F86" s="4">
        <v>0.84694500000000028</v>
      </c>
      <c r="G86" s="1" t="s">
        <v>914</v>
      </c>
      <c r="H86" s="1" t="s">
        <v>957</v>
      </c>
      <c r="I86" s="1" t="s">
        <v>920</v>
      </c>
    </row>
    <row r="87" spans="1:9" x14ac:dyDescent="0.25">
      <c r="A87" s="3">
        <v>46319</v>
      </c>
      <c r="B87" s="1" t="s">
        <v>913</v>
      </c>
      <c r="C87" s="1" t="s">
        <v>13</v>
      </c>
      <c r="D87" s="1">
        <v>5</v>
      </c>
      <c r="E87" s="1">
        <v>0</v>
      </c>
      <c r="F87" s="4">
        <v>0</v>
      </c>
      <c r="G87" s="1" t="s">
        <v>914</v>
      </c>
      <c r="H87" s="1" t="s">
        <v>957</v>
      </c>
      <c r="I87" s="1" t="s">
        <v>921</v>
      </c>
    </row>
    <row r="88" spans="1:9" x14ac:dyDescent="0.25">
      <c r="A88" s="3">
        <v>46319</v>
      </c>
      <c r="B88" s="1" t="s">
        <v>913</v>
      </c>
      <c r="C88" s="1" t="s">
        <v>13</v>
      </c>
      <c r="D88" s="1">
        <v>6</v>
      </c>
      <c r="E88" s="1">
        <v>207.743425</v>
      </c>
      <c r="F88" s="4">
        <v>4.5392400000000004</v>
      </c>
      <c r="G88" s="1" t="s">
        <v>914</v>
      </c>
      <c r="H88" s="1" t="s">
        <v>957</v>
      </c>
      <c r="I88" s="1" t="s">
        <v>922</v>
      </c>
    </row>
    <row r="89" spans="1:9" x14ac:dyDescent="0.25">
      <c r="A89" s="3">
        <v>46319</v>
      </c>
      <c r="B89" s="1" t="s">
        <v>913</v>
      </c>
      <c r="C89" s="1" t="s">
        <v>13</v>
      </c>
      <c r="D89" s="1" t="s">
        <v>906</v>
      </c>
      <c r="E89" s="1">
        <v>15</v>
      </c>
      <c r="F89" s="4">
        <v>0.49331999999999998</v>
      </c>
      <c r="G89" s="1" t="s">
        <v>914</v>
      </c>
      <c r="H89" s="1" t="s">
        <v>957</v>
      </c>
      <c r="I89" s="1" t="s">
        <v>923</v>
      </c>
    </row>
    <row r="90" spans="1:9" x14ac:dyDescent="0.25">
      <c r="A90" s="3">
        <v>46319</v>
      </c>
      <c r="B90" s="1" t="s">
        <v>913</v>
      </c>
      <c r="C90" s="1" t="s">
        <v>13</v>
      </c>
      <c r="D90" s="1">
        <v>7</v>
      </c>
      <c r="E90" s="1">
        <v>33</v>
      </c>
      <c r="F90" s="4">
        <v>6.6739260000000016</v>
      </c>
      <c r="G90" s="1" t="s">
        <v>914</v>
      </c>
      <c r="H90" s="1" t="s">
        <v>957</v>
      </c>
      <c r="I90" s="1" t="s">
        <v>924</v>
      </c>
    </row>
    <row r="91" spans="1:9" x14ac:dyDescent="0.25">
      <c r="A91" s="3">
        <v>46319</v>
      </c>
      <c r="B91" s="1" t="s">
        <v>913</v>
      </c>
      <c r="C91" s="1" t="s">
        <v>13</v>
      </c>
      <c r="D91" s="1" t="s">
        <v>907</v>
      </c>
      <c r="E91" s="1">
        <v>8</v>
      </c>
      <c r="F91" s="4">
        <v>0.30848999999999999</v>
      </c>
      <c r="G91" s="1" t="s">
        <v>914</v>
      </c>
      <c r="H91" s="1" t="s">
        <v>957</v>
      </c>
      <c r="I91" s="1" t="s">
        <v>958</v>
      </c>
    </row>
    <row r="92" spans="1:9" x14ac:dyDescent="0.25">
      <c r="A92" s="3">
        <v>46319</v>
      </c>
      <c r="B92" s="1" t="s">
        <v>913</v>
      </c>
      <c r="C92" s="1" t="s">
        <v>13</v>
      </c>
      <c r="D92" s="1">
        <v>8</v>
      </c>
      <c r="E92" s="1">
        <v>74</v>
      </c>
      <c r="F92" s="4">
        <v>2.3000799999999999</v>
      </c>
      <c r="G92" s="1" t="s">
        <v>914</v>
      </c>
      <c r="H92" s="1" t="s">
        <v>957</v>
      </c>
      <c r="I92" s="1" t="s">
        <v>925</v>
      </c>
    </row>
    <row r="93" spans="1:9" x14ac:dyDescent="0.25">
      <c r="A93" s="3">
        <v>46319</v>
      </c>
      <c r="B93" s="1" t="s">
        <v>913</v>
      </c>
      <c r="C93" s="1" t="s">
        <v>15</v>
      </c>
      <c r="D93" s="1">
        <v>3</v>
      </c>
      <c r="E93" s="1">
        <v>254.88354000000001</v>
      </c>
      <c r="F93" s="4">
        <v>1.387281</v>
      </c>
      <c r="G93" s="1" t="s">
        <v>914</v>
      </c>
      <c r="H93" s="1" t="s">
        <v>957</v>
      </c>
      <c r="I93" s="1" t="s">
        <v>927</v>
      </c>
    </row>
    <row r="94" spans="1:9" x14ac:dyDescent="0.25">
      <c r="A94" s="3">
        <v>46319</v>
      </c>
      <c r="B94" s="1" t="s">
        <v>913</v>
      </c>
      <c r="C94" s="1" t="s">
        <v>15</v>
      </c>
      <c r="D94" s="1">
        <v>3.5</v>
      </c>
      <c r="E94" s="1">
        <v>319.84393999999998</v>
      </c>
      <c r="F94" s="4">
        <v>2.609775</v>
      </c>
      <c r="G94" s="1" t="s">
        <v>914</v>
      </c>
      <c r="H94" s="1" t="s">
        <v>957</v>
      </c>
      <c r="I94" s="1" t="s">
        <v>928</v>
      </c>
    </row>
    <row r="95" spans="1:9" x14ac:dyDescent="0.25">
      <c r="A95" s="3">
        <v>46319</v>
      </c>
      <c r="B95" s="1" t="s">
        <v>913</v>
      </c>
      <c r="C95" s="1" t="s">
        <v>15</v>
      </c>
      <c r="D95" s="1">
        <v>2.5</v>
      </c>
      <c r="E95" s="1">
        <v>18</v>
      </c>
      <c r="F95" s="4">
        <v>7.8225000000000017E-2</v>
      </c>
      <c r="G95" s="1" t="s">
        <v>914</v>
      </c>
      <c r="H95" s="1" t="s">
        <v>957</v>
      </c>
      <c r="I95" s="1" t="s">
        <v>929</v>
      </c>
    </row>
    <row r="96" spans="1:9" x14ac:dyDescent="0.25">
      <c r="A96" s="3">
        <v>46319</v>
      </c>
      <c r="B96" s="1" t="s">
        <v>913</v>
      </c>
      <c r="C96" s="1" t="s">
        <v>15</v>
      </c>
      <c r="D96" s="1">
        <v>4</v>
      </c>
      <c r="E96" s="1">
        <v>3</v>
      </c>
      <c r="F96" s="4">
        <v>8.8760000000000006E-2</v>
      </c>
      <c r="G96" s="1" t="s">
        <v>914</v>
      </c>
      <c r="H96" s="1" t="s">
        <v>957</v>
      </c>
      <c r="I96" s="1" t="s">
        <v>930</v>
      </c>
    </row>
    <row r="97" spans="1:9" x14ac:dyDescent="0.25">
      <c r="A97" s="3">
        <v>46319</v>
      </c>
      <c r="B97" s="1" t="s">
        <v>913</v>
      </c>
      <c r="C97" s="1" t="s">
        <v>15</v>
      </c>
      <c r="D97" s="1">
        <v>4.5</v>
      </c>
      <c r="E97" s="1">
        <v>0</v>
      </c>
      <c r="F97" s="4">
        <v>5.6700000000000639E-3</v>
      </c>
      <c r="G97" s="1" t="s">
        <v>914</v>
      </c>
      <c r="H97" s="1" t="s">
        <v>957</v>
      </c>
      <c r="I97" s="1" t="s">
        <v>931</v>
      </c>
    </row>
    <row r="98" spans="1:9" x14ac:dyDescent="0.25">
      <c r="A98" s="3">
        <v>46319</v>
      </c>
      <c r="B98" s="1" t="s">
        <v>913</v>
      </c>
      <c r="C98" s="1" t="s">
        <v>15</v>
      </c>
      <c r="D98" s="1">
        <v>5</v>
      </c>
      <c r="E98" s="1">
        <v>7</v>
      </c>
      <c r="F98" s="4">
        <v>7.4655000000000082E-2</v>
      </c>
      <c r="G98" s="1" t="s">
        <v>914</v>
      </c>
      <c r="H98" s="1" t="s">
        <v>957</v>
      </c>
      <c r="I98" s="1" t="s">
        <v>932</v>
      </c>
    </row>
    <row r="99" spans="1:9" x14ac:dyDescent="0.25">
      <c r="A99" s="3">
        <v>46319</v>
      </c>
      <c r="B99" s="1" t="s">
        <v>913</v>
      </c>
      <c r="C99" s="1" t="s">
        <v>15</v>
      </c>
      <c r="D99" s="1">
        <v>5.5</v>
      </c>
      <c r="E99" s="1">
        <v>10</v>
      </c>
      <c r="F99" s="4">
        <v>0.10505</v>
      </c>
      <c r="G99" s="1" t="s">
        <v>914</v>
      </c>
      <c r="H99" s="1" t="s">
        <v>957</v>
      </c>
      <c r="I99" s="1" t="s">
        <v>933</v>
      </c>
    </row>
    <row r="100" spans="1:9" x14ac:dyDescent="0.25">
      <c r="A100" s="3">
        <v>46319</v>
      </c>
      <c r="B100" s="1" t="s">
        <v>913</v>
      </c>
      <c r="C100" s="1" t="s">
        <v>15</v>
      </c>
      <c r="D100" s="1">
        <v>7.5</v>
      </c>
      <c r="E100" s="1">
        <v>102</v>
      </c>
      <c r="F100" s="4">
        <v>2.0378250000000002</v>
      </c>
      <c r="G100" s="1" t="s">
        <v>914</v>
      </c>
      <c r="H100" s="1" t="s">
        <v>957</v>
      </c>
      <c r="I100" s="1" t="s">
        <v>959</v>
      </c>
    </row>
    <row r="101" spans="1:9" x14ac:dyDescent="0.25">
      <c r="A101" s="3">
        <v>46319</v>
      </c>
      <c r="B101" s="1" t="s">
        <v>913</v>
      </c>
      <c r="C101" s="1" t="s">
        <v>15</v>
      </c>
      <c r="D101" s="1">
        <v>8</v>
      </c>
      <c r="E101" s="1">
        <v>156</v>
      </c>
      <c r="F101" s="4">
        <v>3.5428799999999998</v>
      </c>
      <c r="G101" s="1" t="s">
        <v>914</v>
      </c>
      <c r="H101" s="1" t="s">
        <v>957</v>
      </c>
      <c r="I101" s="1" t="s">
        <v>934</v>
      </c>
    </row>
    <row r="102" spans="1:9" x14ac:dyDescent="0.25">
      <c r="A102" s="3">
        <v>46319</v>
      </c>
      <c r="B102" s="1" t="s">
        <v>913</v>
      </c>
      <c r="C102" s="1" t="s">
        <v>905</v>
      </c>
      <c r="D102" s="1">
        <v>2.5</v>
      </c>
      <c r="E102" s="1">
        <v>8</v>
      </c>
      <c r="F102" s="4">
        <v>3.4504999999999973E-2</v>
      </c>
      <c r="G102" s="1" t="s">
        <v>914</v>
      </c>
      <c r="H102" s="1" t="s">
        <v>957</v>
      </c>
      <c r="I102" s="1" t="s">
        <v>960</v>
      </c>
    </row>
    <row r="103" spans="1:9" x14ac:dyDescent="0.25">
      <c r="A103" s="3">
        <v>46319</v>
      </c>
      <c r="B103" s="1" t="s">
        <v>913</v>
      </c>
      <c r="C103" s="1" t="s">
        <v>905</v>
      </c>
      <c r="D103" s="1">
        <v>3.5</v>
      </c>
      <c r="E103" s="1">
        <v>8</v>
      </c>
      <c r="F103" s="4">
        <v>8.7674999999999614E-2</v>
      </c>
      <c r="G103" s="1" t="s">
        <v>914</v>
      </c>
      <c r="H103" s="1" t="s">
        <v>957</v>
      </c>
      <c r="I103" s="1" t="s">
        <v>961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K201"/>
  <sheetViews>
    <sheetView showGridLines="0" topLeftCell="F1" zoomScale="70" zoomScaleNormal="70" workbookViewId="0">
      <selection activeCell="J1" sqref="J1"/>
    </sheetView>
  </sheetViews>
  <sheetFormatPr defaultColWidth="8.7109375" defaultRowHeight="15" outlineLevelCol="1" x14ac:dyDescent="0.25"/>
  <cols>
    <col min="1" max="1" width="8" customWidth="1"/>
    <col min="2" max="2" width="20" customWidth="1"/>
    <col min="3" max="3" width="10" hidden="1" customWidth="1" outlineLevel="1"/>
    <col min="4" max="4" width="9" hidden="1" customWidth="1" outlineLevel="1"/>
    <col min="5" max="5" width="7" hidden="1" customWidth="1" outlineLevel="1"/>
    <col min="6" max="6" width="22" customWidth="1" collapsed="1"/>
    <col min="7" max="7" width="12" hidden="1" customWidth="1" outlineLevel="1"/>
    <col min="8" max="8" width="24" hidden="1" customWidth="1" outlineLevel="1"/>
    <col min="9" max="9" width="15" hidden="1" customWidth="1" outlineLevel="1"/>
    <col min="10" max="10" width="52" customWidth="1" collapsed="1"/>
    <col min="11" max="11" width="10" customWidth="1"/>
    <col min="12" max="12" width="9" customWidth="1"/>
    <col min="13" max="13" width="12" customWidth="1"/>
    <col min="14" max="19" width="11" customWidth="1"/>
    <col min="20" max="20" width="12" customWidth="1"/>
    <col min="21" max="23" width="11" customWidth="1"/>
    <col min="24" max="37" width="13" customWidth="1"/>
  </cols>
  <sheetData>
    <row r="1" spans="1:37" ht="30" customHeight="1" x14ac:dyDescent="0.25">
      <c r="A1" s="190" t="s">
        <v>962</v>
      </c>
      <c r="B1" s="190" t="s">
        <v>377</v>
      </c>
      <c r="C1" s="190" t="s">
        <v>378</v>
      </c>
      <c r="D1" s="190" t="s">
        <v>963</v>
      </c>
      <c r="E1" s="190" t="s">
        <v>964</v>
      </c>
      <c r="F1" s="190" t="s">
        <v>965</v>
      </c>
      <c r="G1" s="190" t="s">
        <v>966</v>
      </c>
      <c r="H1" s="190" t="s">
        <v>967</v>
      </c>
      <c r="I1" s="190" t="s">
        <v>968</v>
      </c>
      <c r="J1" s="190" t="s">
        <v>969</v>
      </c>
      <c r="K1" s="190" t="s">
        <v>970</v>
      </c>
      <c r="L1" s="190" t="s">
        <v>971</v>
      </c>
      <c r="M1" s="190" t="s">
        <v>878</v>
      </c>
      <c r="N1" s="190" t="s">
        <v>972</v>
      </c>
      <c r="O1" s="190" t="s">
        <v>973</v>
      </c>
      <c r="P1" s="190" t="s">
        <v>974</v>
      </c>
      <c r="Q1" s="190" t="s">
        <v>975</v>
      </c>
      <c r="R1" s="190" t="s">
        <v>976</v>
      </c>
      <c r="S1" s="190" t="s">
        <v>977</v>
      </c>
      <c r="T1" s="190" t="s">
        <v>978</v>
      </c>
      <c r="U1" s="190" t="s">
        <v>979</v>
      </c>
      <c r="V1" s="190" t="s">
        <v>980</v>
      </c>
      <c r="W1" s="190" t="s">
        <v>981</v>
      </c>
      <c r="X1" s="191" t="s">
        <v>982</v>
      </c>
      <c r="Y1" s="191" t="s">
        <v>983</v>
      </c>
      <c r="Z1" s="191" t="s">
        <v>984</v>
      </c>
      <c r="AA1" s="191" t="s">
        <v>985</v>
      </c>
      <c r="AB1" s="191" t="s">
        <v>986</v>
      </c>
      <c r="AC1" s="191" t="s">
        <v>987</v>
      </c>
      <c r="AD1" s="191" t="s">
        <v>988</v>
      </c>
      <c r="AE1" s="191" t="s">
        <v>989</v>
      </c>
      <c r="AF1" s="191" t="s">
        <v>990</v>
      </c>
      <c r="AG1" s="191" t="s">
        <v>991</v>
      </c>
      <c r="AH1" s="191" t="s">
        <v>992</v>
      </c>
      <c r="AI1" s="191" t="s">
        <v>993</v>
      </c>
      <c r="AJ1" s="191" t="s">
        <v>994</v>
      </c>
      <c r="AK1" s="191" t="s">
        <v>995</v>
      </c>
    </row>
    <row r="2" spans="1:37" ht="15" customHeight="1" x14ac:dyDescent="0.25">
      <c r="A2" s="192" t="s">
        <v>996</v>
      </c>
      <c r="B2" s="192" t="s">
        <v>446</v>
      </c>
      <c r="C2" s="192" t="s">
        <v>873</v>
      </c>
      <c r="D2" s="192" t="s">
        <v>997</v>
      </c>
      <c r="E2" s="192" t="s">
        <v>998</v>
      </c>
      <c r="F2" s="192" t="s">
        <v>999</v>
      </c>
      <c r="G2" s="193">
        <v>46057</v>
      </c>
      <c r="H2" s="192" t="s">
        <v>1000</v>
      </c>
      <c r="I2" s="192" t="s">
        <v>1001</v>
      </c>
      <c r="J2" s="192" t="s">
        <v>1002</v>
      </c>
      <c r="K2" s="192" t="s">
        <v>13</v>
      </c>
      <c r="L2" s="192">
        <v>40</v>
      </c>
      <c r="M2" s="193">
        <v>46103</v>
      </c>
      <c r="N2" s="192">
        <v>40</v>
      </c>
      <c r="O2" s="192">
        <v>40</v>
      </c>
      <c r="P2" s="192">
        <v>40</v>
      </c>
      <c r="Q2" s="192">
        <v>40</v>
      </c>
      <c r="R2" s="192">
        <v>40</v>
      </c>
      <c r="S2" s="192">
        <v>40</v>
      </c>
      <c r="T2" s="192">
        <v>40</v>
      </c>
      <c r="U2" s="192">
        <f t="shared" ref="U2:U33" si="0">L2-T2</f>
        <v>0</v>
      </c>
      <c r="V2" s="192">
        <v>40</v>
      </c>
      <c r="W2" s="192">
        <f t="shared" ref="W2:W33" si="1">T2-V2</f>
        <v>0</v>
      </c>
      <c r="X2" s="194">
        <f t="shared" ref="X2:X33" si="2">IF(N2-O2&gt;0,1,0)</f>
        <v>0</v>
      </c>
      <c r="Y2" s="194">
        <f t="shared" ref="Y2:Y33" si="3">IF(O2-P2&gt;0,1,0)</f>
        <v>0</v>
      </c>
      <c r="Z2" s="194">
        <f t="shared" ref="Z2:Z33" si="4">IF(P2-Q2&gt;0,1,0)</f>
        <v>0</v>
      </c>
      <c r="AA2" s="194">
        <f t="shared" ref="AA2:AA33" si="5">IF(Q2-R2&gt;0,1,0)</f>
        <v>0</v>
      </c>
      <c r="AB2" s="194">
        <f t="shared" ref="AB2:AB33" si="6">IF(R2-S2&gt;0,1,0)</f>
        <v>0</v>
      </c>
      <c r="AC2" s="194">
        <f t="shared" ref="AC2:AC33" si="7">IF(S2-T2&gt;0,1,0)</f>
        <v>0</v>
      </c>
      <c r="AD2" s="194">
        <f t="shared" ref="AD2:AD33" si="8">IF(L2-V2&gt;0,1,0)</f>
        <v>0</v>
      </c>
      <c r="AE2" s="194">
        <f t="shared" ref="AE2:AE33" si="9">IF(L2-T2&gt;0,1,0)</f>
        <v>0</v>
      </c>
      <c r="AF2" s="194">
        <v>0</v>
      </c>
      <c r="AG2" s="194">
        <v>0</v>
      </c>
      <c r="AH2" s="194">
        <v>0</v>
      </c>
      <c r="AI2" s="194">
        <v>0</v>
      </c>
      <c r="AJ2" s="194">
        <v>0</v>
      </c>
      <c r="AK2" s="194">
        <f t="shared" ref="AK2:AK33" si="10">IF(T2-V2&gt;0,1,0)</f>
        <v>0</v>
      </c>
    </row>
    <row r="3" spans="1:37" ht="15" customHeight="1" x14ac:dyDescent="0.25">
      <c r="A3" s="192" t="s">
        <v>1003</v>
      </c>
      <c r="B3" s="192" t="s">
        <v>505</v>
      </c>
      <c r="C3" s="192" t="s">
        <v>871</v>
      </c>
      <c r="D3" s="192" t="s">
        <v>997</v>
      </c>
      <c r="E3" s="192" t="s">
        <v>998</v>
      </c>
      <c r="F3" s="192" t="s">
        <v>1004</v>
      </c>
      <c r="G3" s="193">
        <v>46057</v>
      </c>
      <c r="H3" s="192" t="s">
        <v>1000</v>
      </c>
      <c r="I3" s="192" t="s">
        <v>1005</v>
      </c>
      <c r="J3" s="192" t="s">
        <v>1006</v>
      </c>
      <c r="K3" s="192" t="s">
        <v>13</v>
      </c>
      <c r="L3" s="192">
        <v>20</v>
      </c>
      <c r="M3" s="193">
        <v>46103</v>
      </c>
      <c r="N3" s="192">
        <v>20</v>
      </c>
      <c r="O3" s="192">
        <v>20</v>
      </c>
      <c r="P3" s="192">
        <v>20</v>
      </c>
      <c r="Q3" s="192">
        <v>20</v>
      </c>
      <c r="R3" s="192">
        <v>20</v>
      </c>
      <c r="S3" s="192">
        <v>20</v>
      </c>
      <c r="T3" s="192">
        <v>20</v>
      </c>
      <c r="U3" s="192">
        <f t="shared" si="0"/>
        <v>0</v>
      </c>
      <c r="V3" s="192">
        <v>20</v>
      </c>
      <c r="W3" s="192">
        <f t="shared" si="1"/>
        <v>0</v>
      </c>
      <c r="X3" s="194">
        <f t="shared" si="2"/>
        <v>0</v>
      </c>
      <c r="Y3" s="194">
        <f t="shared" si="3"/>
        <v>0</v>
      </c>
      <c r="Z3" s="194">
        <f t="shared" si="4"/>
        <v>0</v>
      </c>
      <c r="AA3" s="194">
        <f t="shared" si="5"/>
        <v>0</v>
      </c>
      <c r="AB3" s="194">
        <f t="shared" si="6"/>
        <v>0</v>
      </c>
      <c r="AC3" s="194">
        <f t="shared" si="7"/>
        <v>0</v>
      </c>
      <c r="AD3" s="194">
        <f t="shared" si="8"/>
        <v>0</v>
      </c>
      <c r="AE3" s="194">
        <f t="shared" si="9"/>
        <v>0</v>
      </c>
      <c r="AF3" s="194">
        <v>0</v>
      </c>
      <c r="AG3" s="194">
        <v>0</v>
      </c>
      <c r="AH3" s="194">
        <v>0</v>
      </c>
      <c r="AI3" s="194">
        <v>0</v>
      </c>
      <c r="AJ3" s="194">
        <v>0</v>
      </c>
      <c r="AK3" s="194">
        <f t="shared" si="10"/>
        <v>0</v>
      </c>
    </row>
    <row r="4" spans="1:37" ht="15" customHeight="1" x14ac:dyDescent="0.25">
      <c r="A4" s="192" t="s">
        <v>1003</v>
      </c>
      <c r="B4" s="192" t="s">
        <v>505</v>
      </c>
      <c r="C4" s="192" t="s">
        <v>871</v>
      </c>
      <c r="D4" s="192" t="s">
        <v>997</v>
      </c>
      <c r="E4" s="192" t="s">
        <v>998</v>
      </c>
      <c r="F4" s="192" t="s">
        <v>1004</v>
      </c>
      <c r="G4" s="193">
        <v>46057</v>
      </c>
      <c r="H4" s="192" t="s">
        <v>1000</v>
      </c>
      <c r="I4" s="192" t="s">
        <v>1007</v>
      </c>
      <c r="J4" s="192" t="s">
        <v>1008</v>
      </c>
      <c r="K4" s="192" t="s">
        <v>13</v>
      </c>
      <c r="L4" s="192">
        <v>20</v>
      </c>
      <c r="M4" s="193">
        <v>46103</v>
      </c>
      <c r="N4" s="192">
        <v>20</v>
      </c>
      <c r="O4" s="192">
        <v>20</v>
      </c>
      <c r="P4" s="192">
        <v>20</v>
      </c>
      <c r="Q4" s="192">
        <v>20</v>
      </c>
      <c r="R4" s="192">
        <v>20</v>
      </c>
      <c r="S4" s="192">
        <v>20</v>
      </c>
      <c r="T4" s="192">
        <v>20</v>
      </c>
      <c r="U4" s="192">
        <f t="shared" si="0"/>
        <v>0</v>
      </c>
      <c r="V4" s="192">
        <v>20</v>
      </c>
      <c r="W4" s="192">
        <f t="shared" si="1"/>
        <v>0</v>
      </c>
      <c r="X4" s="194">
        <f t="shared" si="2"/>
        <v>0</v>
      </c>
      <c r="Y4" s="194">
        <f t="shared" si="3"/>
        <v>0</v>
      </c>
      <c r="Z4" s="194">
        <f t="shared" si="4"/>
        <v>0</v>
      </c>
      <c r="AA4" s="194">
        <f t="shared" si="5"/>
        <v>0</v>
      </c>
      <c r="AB4" s="194">
        <f t="shared" si="6"/>
        <v>0</v>
      </c>
      <c r="AC4" s="194">
        <f t="shared" si="7"/>
        <v>0</v>
      </c>
      <c r="AD4" s="194">
        <f t="shared" si="8"/>
        <v>0</v>
      </c>
      <c r="AE4" s="194">
        <f t="shared" si="9"/>
        <v>0</v>
      </c>
      <c r="AF4" s="194">
        <v>0</v>
      </c>
      <c r="AG4" s="194">
        <v>0</v>
      </c>
      <c r="AH4" s="194">
        <v>0</v>
      </c>
      <c r="AI4" s="194">
        <v>0</v>
      </c>
      <c r="AJ4" s="194">
        <v>0</v>
      </c>
      <c r="AK4" s="194">
        <f t="shared" si="10"/>
        <v>0</v>
      </c>
    </row>
    <row r="5" spans="1:37" ht="15" customHeight="1" x14ac:dyDescent="0.25">
      <c r="A5" s="192" t="s">
        <v>1003</v>
      </c>
      <c r="B5" s="192" t="s">
        <v>505</v>
      </c>
      <c r="C5" s="192" t="s">
        <v>871</v>
      </c>
      <c r="D5" s="192" t="s">
        <v>997</v>
      </c>
      <c r="E5" s="192" t="s">
        <v>998</v>
      </c>
      <c r="F5" s="192" t="s">
        <v>1004</v>
      </c>
      <c r="G5" s="193">
        <v>46057</v>
      </c>
      <c r="H5" s="192" t="s">
        <v>1000</v>
      </c>
      <c r="I5" s="192" t="s">
        <v>1009</v>
      </c>
      <c r="J5" s="192" t="s">
        <v>1010</v>
      </c>
      <c r="K5" s="192" t="s">
        <v>13</v>
      </c>
      <c r="L5" s="192">
        <v>20</v>
      </c>
      <c r="M5" s="193">
        <v>46103</v>
      </c>
      <c r="N5" s="192">
        <v>20</v>
      </c>
      <c r="O5" s="192">
        <v>20</v>
      </c>
      <c r="P5" s="192">
        <v>20</v>
      </c>
      <c r="Q5" s="192">
        <v>20</v>
      </c>
      <c r="R5" s="192">
        <v>20</v>
      </c>
      <c r="S5" s="192">
        <v>20</v>
      </c>
      <c r="T5" s="192">
        <v>20</v>
      </c>
      <c r="U5" s="192">
        <f t="shared" si="0"/>
        <v>0</v>
      </c>
      <c r="V5" s="192">
        <v>20</v>
      </c>
      <c r="W5" s="192">
        <f t="shared" si="1"/>
        <v>0</v>
      </c>
      <c r="X5" s="194">
        <f t="shared" si="2"/>
        <v>0</v>
      </c>
      <c r="Y5" s="194">
        <f t="shared" si="3"/>
        <v>0</v>
      </c>
      <c r="Z5" s="194">
        <f t="shared" si="4"/>
        <v>0</v>
      </c>
      <c r="AA5" s="194">
        <f t="shared" si="5"/>
        <v>0</v>
      </c>
      <c r="AB5" s="194">
        <f t="shared" si="6"/>
        <v>0</v>
      </c>
      <c r="AC5" s="194">
        <f t="shared" si="7"/>
        <v>0</v>
      </c>
      <c r="AD5" s="194">
        <f t="shared" si="8"/>
        <v>0</v>
      </c>
      <c r="AE5" s="194">
        <f t="shared" si="9"/>
        <v>0</v>
      </c>
      <c r="AF5" s="194">
        <v>0</v>
      </c>
      <c r="AG5" s="194">
        <v>0</v>
      </c>
      <c r="AH5" s="194">
        <v>0</v>
      </c>
      <c r="AI5" s="194">
        <v>0</v>
      </c>
      <c r="AJ5" s="194">
        <v>0</v>
      </c>
      <c r="AK5" s="194">
        <f t="shared" si="10"/>
        <v>0</v>
      </c>
    </row>
    <row r="6" spans="1:37" ht="15" customHeight="1" x14ac:dyDescent="0.25">
      <c r="A6" s="192" t="s">
        <v>1003</v>
      </c>
      <c r="B6" s="192" t="s">
        <v>505</v>
      </c>
      <c r="C6" s="192" t="s">
        <v>871</v>
      </c>
      <c r="D6" s="192" t="s">
        <v>997</v>
      </c>
      <c r="E6" s="192" t="s">
        <v>998</v>
      </c>
      <c r="F6" s="192" t="s">
        <v>1004</v>
      </c>
      <c r="G6" s="193">
        <v>46057</v>
      </c>
      <c r="H6" s="192" t="s">
        <v>1000</v>
      </c>
      <c r="I6" s="192" t="s">
        <v>1011</v>
      </c>
      <c r="J6" s="192" t="s">
        <v>1012</v>
      </c>
      <c r="K6" s="192" t="s">
        <v>13</v>
      </c>
      <c r="L6" s="192">
        <v>20</v>
      </c>
      <c r="M6" s="193">
        <v>46103</v>
      </c>
      <c r="N6" s="192">
        <v>20</v>
      </c>
      <c r="O6" s="192">
        <v>20</v>
      </c>
      <c r="P6" s="192">
        <v>20</v>
      </c>
      <c r="Q6" s="192">
        <v>20</v>
      </c>
      <c r="R6" s="192">
        <v>20</v>
      </c>
      <c r="S6" s="192">
        <v>20</v>
      </c>
      <c r="T6" s="192">
        <v>20</v>
      </c>
      <c r="U6" s="192">
        <f t="shared" si="0"/>
        <v>0</v>
      </c>
      <c r="V6" s="192">
        <v>20</v>
      </c>
      <c r="W6" s="192">
        <f t="shared" si="1"/>
        <v>0</v>
      </c>
      <c r="X6" s="194">
        <f t="shared" si="2"/>
        <v>0</v>
      </c>
      <c r="Y6" s="194">
        <f t="shared" si="3"/>
        <v>0</v>
      </c>
      <c r="Z6" s="194">
        <f t="shared" si="4"/>
        <v>0</v>
      </c>
      <c r="AA6" s="194">
        <f t="shared" si="5"/>
        <v>0</v>
      </c>
      <c r="AB6" s="194">
        <f t="shared" si="6"/>
        <v>0</v>
      </c>
      <c r="AC6" s="194">
        <f t="shared" si="7"/>
        <v>0</v>
      </c>
      <c r="AD6" s="194">
        <f t="shared" si="8"/>
        <v>0</v>
      </c>
      <c r="AE6" s="194">
        <f t="shared" si="9"/>
        <v>0</v>
      </c>
      <c r="AF6" s="194">
        <v>0</v>
      </c>
      <c r="AG6" s="194">
        <v>0</v>
      </c>
      <c r="AH6" s="194">
        <v>0</v>
      </c>
      <c r="AI6" s="194">
        <v>0</v>
      </c>
      <c r="AJ6" s="194">
        <v>0</v>
      </c>
      <c r="AK6" s="194">
        <f t="shared" si="10"/>
        <v>0</v>
      </c>
    </row>
    <row r="7" spans="1:37" ht="15" customHeight="1" x14ac:dyDescent="0.25">
      <c r="A7" s="192" t="s">
        <v>1003</v>
      </c>
      <c r="B7" s="192" t="s">
        <v>505</v>
      </c>
      <c r="C7" s="192" t="s">
        <v>871</v>
      </c>
      <c r="D7" s="192" t="s">
        <v>997</v>
      </c>
      <c r="E7" s="192" t="s">
        <v>998</v>
      </c>
      <c r="F7" s="192" t="s">
        <v>1004</v>
      </c>
      <c r="G7" s="193">
        <v>46057</v>
      </c>
      <c r="H7" s="192" t="s">
        <v>1000</v>
      </c>
      <c r="I7" s="192" t="s">
        <v>1013</v>
      </c>
      <c r="J7" s="192" t="s">
        <v>1014</v>
      </c>
      <c r="K7" s="192" t="s">
        <v>13</v>
      </c>
      <c r="L7" s="192">
        <v>40</v>
      </c>
      <c r="M7" s="193">
        <v>46103</v>
      </c>
      <c r="N7" s="192">
        <v>40</v>
      </c>
      <c r="O7" s="192">
        <v>40</v>
      </c>
      <c r="P7" s="192">
        <v>40</v>
      </c>
      <c r="Q7" s="192">
        <v>40</v>
      </c>
      <c r="R7" s="192">
        <v>40</v>
      </c>
      <c r="S7" s="192">
        <v>40</v>
      </c>
      <c r="T7" s="192">
        <v>40</v>
      </c>
      <c r="U7" s="192">
        <f t="shared" si="0"/>
        <v>0</v>
      </c>
      <c r="V7" s="192">
        <v>40</v>
      </c>
      <c r="W7" s="192">
        <f t="shared" si="1"/>
        <v>0</v>
      </c>
      <c r="X7" s="194">
        <f t="shared" si="2"/>
        <v>0</v>
      </c>
      <c r="Y7" s="194">
        <f t="shared" si="3"/>
        <v>0</v>
      </c>
      <c r="Z7" s="194">
        <f t="shared" si="4"/>
        <v>0</v>
      </c>
      <c r="AA7" s="194">
        <f t="shared" si="5"/>
        <v>0</v>
      </c>
      <c r="AB7" s="194">
        <f t="shared" si="6"/>
        <v>0</v>
      </c>
      <c r="AC7" s="194">
        <f t="shared" si="7"/>
        <v>0</v>
      </c>
      <c r="AD7" s="194">
        <f t="shared" si="8"/>
        <v>0</v>
      </c>
      <c r="AE7" s="194">
        <f t="shared" si="9"/>
        <v>0</v>
      </c>
      <c r="AF7" s="194">
        <v>0</v>
      </c>
      <c r="AG7" s="194">
        <v>0</v>
      </c>
      <c r="AH7" s="194">
        <v>0</v>
      </c>
      <c r="AI7" s="194">
        <v>0</v>
      </c>
      <c r="AJ7" s="194">
        <v>0</v>
      </c>
      <c r="AK7" s="194">
        <f t="shared" si="10"/>
        <v>0</v>
      </c>
    </row>
    <row r="8" spans="1:37" ht="15" customHeight="1" x14ac:dyDescent="0.25">
      <c r="A8" s="192" t="s">
        <v>1015</v>
      </c>
      <c r="B8" s="192" t="s">
        <v>1016</v>
      </c>
      <c r="C8" s="192" t="s">
        <v>1017</v>
      </c>
      <c r="D8" s="192" t="s">
        <v>997</v>
      </c>
      <c r="E8" s="192" t="s">
        <v>998</v>
      </c>
      <c r="F8" s="192" t="s">
        <v>1018</v>
      </c>
      <c r="G8" s="193">
        <v>46090</v>
      </c>
      <c r="H8" s="192" t="s">
        <v>1000</v>
      </c>
      <c r="I8" s="192" t="s">
        <v>1019</v>
      </c>
      <c r="J8" s="192" t="s">
        <v>1020</v>
      </c>
      <c r="K8" s="192" t="s">
        <v>15</v>
      </c>
      <c r="L8" s="192">
        <v>12</v>
      </c>
      <c r="M8" s="193">
        <v>46147</v>
      </c>
      <c r="N8" s="192">
        <v>12</v>
      </c>
      <c r="O8" s="192">
        <v>12</v>
      </c>
      <c r="P8" s="192">
        <v>12</v>
      </c>
      <c r="Q8" s="192">
        <v>12</v>
      </c>
      <c r="R8" s="192">
        <v>12</v>
      </c>
      <c r="S8" s="192">
        <v>12</v>
      </c>
      <c r="T8" s="192">
        <v>12</v>
      </c>
      <c r="U8" s="192">
        <f t="shared" si="0"/>
        <v>0</v>
      </c>
      <c r="V8" s="192">
        <v>12</v>
      </c>
      <c r="W8" s="192">
        <f t="shared" si="1"/>
        <v>0</v>
      </c>
      <c r="X8" s="194">
        <f t="shared" si="2"/>
        <v>0</v>
      </c>
      <c r="Y8" s="194">
        <f t="shared" si="3"/>
        <v>0</v>
      </c>
      <c r="Z8" s="194">
        <f t="shared" si="4"/>
        <v>0</v>
      </c>
      <c r="AA8" s="194">
        <f t="shared" si="5"/>
        <v>0</v>
      </c>
      <c r="AB8" s="194">
        <f t="shared" si="6"/>
        <v>0</v>
      </c>
      <c r="AC8" s="194">
        <f t="shared" si="7"/>
        <v>0</v>
      </c>
      <c r="AD8" s="194">
        <f t="shared" si="8"/>
        <v>0</v>
      </c>
      <c r="AE8" s="194">
        <f t="shared" si="9"/>
        <v>0</v>
      </c>
      <c r="AF8" s="194">
        <v>0</v>
      </c>
      <c r="AG8" s="194">
        <v>0</v>
      </c>
      <c r="AH8" s="194">
        <v>0</v>
      </c>
      <c r="AI8" s="194">
        <v>0</v>
      </c>
      <c r="AJ8" s="194">
        <v>0</v>
      </c>
      <c r="AK8" s="194">
        <f t="shared" si="10"/>
        <v>0</v>
      </c>
    </row>
    <row r="9" spans="1:37" ht="15" customHeight="1" x14ac:dyDescent="0.25">
      <c r="A9" s="192" t="s">
        <v>1021</v>
      </c>
      <c r="B9" s="192" t="s">
        <v>727</v>
      </c>
      <c r="C9" s="192" t="s">
        <v>1022</v>
      </c>
      <c r="D9" s="192" t="s">
        <v>997</v>
      </c>
      <c r="E9" s="192" t="s">
        <v>998</v>
      </c>
      <c r="F9" s="192" t="s">
        <v>1023</v>
      </c>
      <c r="G9" s="193">
        <v>46107</v>
      </c>
      <c r="H9" s="192" t="s">
        <v>1000</v>
      </c>
      <c r="I9" s="192" t="s">
        <v>1024</v>
      </c>
      <c r="J9" s="192" t="s">
        <v>1025</v>
      </c>
      <c r="K9" s="192" t="s">
        <v>15</v>
      </c>
      <c r="L9" s="192">
        <v>24</v>
      </c>
      <c r="M9" s="193">
        <v>46127</v>
      </c>
      <c r="N9" s="192">
        <v>24</v>
      </c>
      <c r="O9" s="192">
        <v>24</v>
      </c>
      <c r="P9" s="192">
        <v>24</v>
      </c>
      <c r="Q9" s="192">
        <v>24</v>
      </c>
      <c r="R9" s="192">
        <v>24</v>
      </c>
      <c r="S9" s="192">
        <v>24</v>
      </c>
      <c r="T9" s="192">
        <v>24</v>
      </c>
      <c r="U9" s="192">
        <f t="shared" si="0"/>
        <v>0</v>
      </c>
      <c r="V9" s="192">
        <v>24</v>
      </c>
      <c r="W9" s="192">
        <f t="shared" si="1"/>
        <v>0</v>
      </c>
      <c r="X9" s="194">
        <f t="shared" si="2"/>
        <v>0</v>
      </c>
      <c r="Y9" s="194">
        <f t="shared" si="3"/>
        <v>0</v>
      </c>
      <c r="Z9" s="194">
        <f t="shared" si="4"/>
        <v>0</v>
      </c>
      <c r="AA9" s="194">
        <f t="shared" si="5"/>
        <v>0</v>
      </c>
      <c r="AB9" s="194">
        <f t="shared" si="6"/>
        <v>0</v>
      </c>
      <c r="AC9" s="194">
        <f t="shared" si="7"/>
        <v>0</v>
      </c>
      <c r="AD9" s="194">
        <f t="shared" si="8"/>
        <v>0</v>
      </c>
      <c r="AE9" s="194">
        <f t="shared" si="9"/>
        <v>0</v>
      </c>
      <c r="AF9" s="194">
        <v>0</v>
      </c>
      <c r="AG9" s="194">
        <v>0</v>
      </c>
      <c r="AH9" s="194">
        <v>0</v>
      </c>
      <c r="AI9" s="194">
        <v>0</v>
      </c>
      <c r="AJ9" s="194">
        <v>0</v>
      </c>
      <c r="AK9" s="194">
        <f t="shared" si="10"/>
        <v>0</v>
      </c>
    </row>
    <row r="10" spans="1:37" ht="15" customHeight="1" x14ac:dyDescent="0.25">
      <c r="A10" s="192" t="s">
        <v>1021</v>
      </c>
      <c r="B10" s="192" t="s">
        <v>727</v>
      </c>
      <c r="C10" s="192" t="s">
        <v>1022</v>
      </c>
      <c r="D10" s="192" t="s">
        <v>997</v>
      </c>
      <c r="E10" s="192" t="s">
        <v>998</v>
      </c>
      <c r="F10" s="192" t="s">
        <v>1023</v>
      </c>
      <c r="G10" s="193">
        <v>46107</v>
      </c>
      <c r="H10" s="192" t="s">
        <v>1000</v>
      </c>
      <c r="I10" s="192" t="s">
        <v>1026</v>
      </c>
      <c r="J10" s="192" t="s">
        <v>1027</v>
      </c>
      <c r="K10" s="192" t="s">
        <v>15</v>
      </c>
      <c r="L10" s="192">
        <v>24</v>
      </c>
      <c r="M10" s="193">
        <v>46127</v>
      </c>
      <c r="N10" s="192">
        <v>24</v>
      </c>
      <c r="O10" s="192">
        <v>24</v>
      </c>
      <c r="P10" s="192">
        <v>24</v>
      </c>
      <c r="Q10" s="192">
        <v>24</v>
      </c>
      <c r="R10" s="192">
        <v>24</v>
      </c>
      <c r="S10" s="192">
        <v>24</v>
      </c>
      <c r="T10" s="192">
        <v>24</v>
      </c>
      <c r="U10" s="192">
        <f t="shared" si="0"/>
        <v>0</v>
      </c>
      <c r="V10" s="192">
        <v>24</v>
      </c>
      <c r="W10" s="192">
        <f t="shared" si="1"/>
        <v>0</v>
      </c>
      <c r="X10" s="194">
        <f t="shared" si="2"/>
        <v>0</v>
      </c>
      <c r="Y10" s="194">
        <f t="shared" si="3"/>
        <v>0</v>
      </c>
      <c r="Z10" s="194">
        <f t="shared" si="4"/>
        <v>0</v>
      </c>
      <c r="AA10" s="194">
        <f t="shared" si="5"/>
        <v>0</v>
      </c>
      <c r="AB10" s="194">
        <f t="shared" si="6"/>
        <v>0</v>
      </c>
      <c r="AC10" s="194">
        <f t="shared" si="7"/>
        <v>0</v>
      </c>
      <c r="AD10" s="194">
        <f t="shared" si="8"/>
        <v>0</v>
      </c>
      <c r="AE10" s="194">
        <f t="shared" si="9"/>
        <v>0</v>
      </c>
      <c r="AF10" s="194">
        <v>0</v>
      </c>
      <c r="AG10" s="194">
        <v>0</v>
      </c>
      <c r="AH10" s="194">
        <v>0</v>
      </c>
      <c r="AI10" s="194">
        <v>0</v>
      </c>
      <c r="AJ10" s="194">
        <v>0</v>
      </c>
      <c r="AK10" s="194">
        <f t="shared" si="10"/>
        <v>0</v>
      </c>
    </row>
    <row r="11" spans="1:37" ht="15" customHeight="1" x14ac:dyDescent="0.25">
      <c r="A11" s="192" t="s">
        <v>1021</v>
      </c>
      <c r="B11" s="192" t="s">
        <v>727</v>
      </c>
      <c r="C11" s="192" t="s">
        <v>1022</v>
      </c>
      <c r="D11" s="192" t="s">
        <v>997</v>
      </c>
      <c r="E11" s="192" t="s">
        <v>998</v>
      </c>
      <c r="F11" s="192" t="s">
        <v>1023</v>
      </c>
      <c r="G11" s="193">
        <v>46107</v>
      </c>
      <c r="H11" s="192" t="s">
        <v>1000</v>
      </c>
      <c r="I11" s="192" t="s">
        <v>1028</v>
      </c>
      <c r="J11" s="192" t="s">
        <v>1029</v>
      </c>
      <c r="K11" s="192" t="s">
        <v>15</v>
      </c>
      <c r="L11" s="192">
        <v>24</v>
      </c>
      <c r="M11" s="193">
        <v>46127</v>
      </c>
      <c r="N11" s="192">
        <v>24</v>
      </c>
      <c r="O11" s="192">
        <v>24</v>
      </c>
      <c r="P11" s="192">
        <v>24</v>
      </c>
      <c r="Q11" s="192">
        <v>24</v>
      </c>
      <c r="R11" s="192">
        <v>24</v>
      </c>
      <c r="S11" s="192">
        <v>24</v>
      </c>
      <c r="T11" s="192">
        <v>24</v>
      </c>
      <c r="U11" s="192">
        <f t="shared" si="0"/>
        <v>0</v>
      </c>
      <c r="V11" s="192">
        <v>24</v>
      </c>
      <c r="W11" s="192">
        <f t="shared" si="1"/>
        <v>0</v>
      </c>
      <c r="X11" s="194">
        <f t="shared" si="2"/>
        <v>0</v>
      </c>
      <c r="Y11" s="194">
        <f t="shared" si="3"/>
        <v>0</v>
      </c>
      <c r="Z11" s="194">
        <f t="shared" si="4"/>
        <v>0</v>
      </c>
      <c r="AA11" s="194">
        <f t="shared" si="5"/>
        <v>0</v>
      </c>
      <c r="AB11" s="194">
        <f t="shared" si="6"/>
        <v>0</v>
      </c>
      <c r="AC11" s="194">
        <f t="shared" si="7"/>
        <v>0</v>
      </c>
      <c r="AD11" s="194">
        <f t="shared" si="8"/>
        <v>0</v>
      </c>
      <c r="AE11" s="194">
        <f t="shared" si="9"/>
        <v>0</v>
      </c>
      <c r="AF11" s="194">
        <v>0</v>
      </c>
      <c r="AG11" s="194">
        <v>0</v>
      </c>
      <c r="AH11" s="194">
        <v>0</v>
      </c>
      <c r="AI11" s="194">
        <v>0</v>
      </c>
      <c r="AJ11" s="194">
        <v>0</v>
      </c>
      <c r="AK11" s="194">
        <f t="shared" si="10"/>
        <v>0</v>
      </c>
    </row>
    <row r="12" spans="1:37" ht="15" customHeight="1" x14ac:dyDescent="0.25">
      <c r="A12" s="192" t="s">
        <v>1030</v>
      </c>
      <c r="B12" s="192" t="s">
        <v>491</v>
      </c>
      <c r="C12" s="192" t="s">
        <v>837</v>
      </c>
      <c r="D12" s="192" t="s">
        <v>997</v>
      </c>
      <c r="E12" s="192" t="s">
        <v>998</v>
      </c>
      <c r="F12" s="192" t="s">
        <v>1031</v>
      </c>
      <c r="G12" s="193">
        <v>46086</v>
      </c>
      <c r="H12" s="192" t="s">
        <v>1000</v>
      </c>
      <c r="I12" s="192" t="s">
        <v>1032</v>
      </c>
      <c r="J12" s="192" t="s">
        <v>1033</v>
      </c>
      <c r="K12" s="192" t="s">
        <v>15</v>
      </c>
      <c r="L12" s="192">
        <v>36</v>
      </c>
      <c r="M12" s="193">
        <v>46137</v>
      </c>
      <c r="N12" s="192">
        <v>36</v>
      </c>
      <c r="O12" s="192">
        <v>36</v>
      </c>
      <c r="P12" s="192">
        <v>36</v>
      </c>
      <c r="Q12" s="192">
        <v>36</v>
      </c>
      <c r="R12" s="192">
        <v>36</v>
      </c>
      <c r="S12" s="192">
        <v>36</v>
      </c>
      <c r="T12" s="192">
        <v>36</v>
      </c>
      <c r="U12" s="192">
        <f t="shared" si="0"/>
        <v>0</v>
      </c>
      <c r="V12" s="192">
        <v>36</v>
      </c>
      <c r="W12" s="192">
        <f t="shared" si="1"/>
        <v>0</v>
      </c>
      <c r="X12" s="194">
        <f t="shared" si="2"/>
        <v>0</v>
      </c>
      <c r="Y12" s="194">
        <f t="shared" si="3"/>
        <v>0</v>
      </c>
      <c r="Z12" s="194">
        <f t="shared" si="4"/>
        <v>0</v>
      </c>
      <c r="AA12" s="194">
        <f t="shared" si="5"/>
        <v>0</v>
      </c>
      <c r="AB12" s="194">
        <f t="shared" si="6"/>
        <v>0</v>
      </c>
      <c r="AC12" s="194">
        <f t="shared" si="7"/>
        <v>0</v>
      </c>
      <c r="AD12" s="194">
        <f t="shared" si="8"/>
        <v>0</v>
      </c>
      <c r="AE12" s="194">
        <f t="shared" si="9"/>
        <v>0</v>
      </c>
      <c r="AF12" s="194">
        <v>0</v>
      </c>
      <c r="AG12" s="194">
        <v>0</v>
      </c>
      <c r="AH12" s="194">
        <v>0</v>
      </c>
      <c r="AI12" s="194">
        <v>0</v>
      </c>
      <c r="AJ12" s="194">
        <v>0</v>
      </c>
      <c r="AK12" s="194">
        <f t="shared" si="10"/>
        <v>0</v>
      </c>
    </row>
    <row r="13" spans="1:37" ht="15" customHeight="1" x14ac:dyDescent="0.25">
      <c r="A13" s="192" t="s">
        <v>1030</v>
      </c>
      <c r="B13" s="192" t="s">
        <v>491</v>
      </c>
      <c r="C13" s="192" t="s">
        <v>837</v>
      </c>
      <c r="D13" s="192" t="s">
        <v>997</v>
      </c>
      <c r="E13" s="192" t="s">
        <v>998</v>
      </c>
      <c r="F13" s="192" t="s">
        <v>1031</v>
      </c>
      <c r="G13" s="193">
        <v>46086</v>
      </c>
      <c r="H13" s="192" t="s">
        <v>1000</v>
      </c>
      <c r="I13" s="192" t="s">
        <v>1034</v>
      </c>
      <c r="J13" s="192" t="s">
        <v>1035</v>
      </c>
      <c r="K13" s="192" t="s">
        <v>13</v>
      </c>
      <c r="L13" s="192">
        <v>36</v>
      </c>
      <c r="M13" s="193">
        <v>46137</v>
      </c>
      <c r="N13" s="192">
        <v>36</v>
      </c>
      <c r="O13" s="192">
        <v>36</v>
      </c>
      <c r="P13" s="192">
        <v>36</v>
      </c>
      <c r="Q13" s="192">
        <v>36</v>
      </c>
      <c r="R13" s="192">
        <v>36</v>
      </c>
      <c r="S13" s="192">
        <v>36</v>
      </c>
      <c r="T13" s="192">
        <v>36</v>
      </c>
      <c r="U13" s="192">
        <f t="shared" si="0"/>
        <v>0</v>
      </c>
      <c r="V13" s="192">
        <v>36</v>
      </c>
      <c r="W13" s="192">
        <f t="shared" si="1"/>
        <v>0</v>
      </c>
      <c r="X13" s="194">
        <f t="shared" si="2"/>
        <v>0</v>
      </c>
      <c r="Y13" s="194">
        <f t="shared" si="3"/>
        <v>0</v>
      </c>
      <c r="Z13" s="194">
        <f t="shared" si="4"/>
        <v>0</v>
      </c>
      <c r="AA13" s="194">
        <f t="shared" si="5"/>
        <v>0</v>
      </c>
      <c r="AB13" s="194">
        <f t="shared" si="6"/>
        <v>0</v>
      </c>
      <c r="AC13" s="194">
        <f t="shared" si="7"/>
        <v>0</v>
      </c>
      <c r="AD13" s="194">
        <f t="shared" si="8"/>
        <v>0</v>
      </c>
      <c r="AE13" s="194">
        <f t="shared" si="9"/>
        <v>0</v>
      </c>
      <c r="AF13" s="194">
        <v>0</v>
      </c>
      <c r="AG13" s="194">
        <v>0</v>
      </c>
      <c r="AH13" s="194">
        <v>0</v>
      </c>
      <c r="AI13" s="194">
        <v>0</v>
      </c>
      <c r="AJ13" s="194">
        <v>0</v>
      </c>
      <c r="AK13" s="194">
        <f t="shared" si="10"/>
        <v>0</v>
      </c>
    </row>
    <row r="14" spans="1:37" ht="15" customHeight="1" x14ac:dyDescent="0.25">
      <c r="A14" s="192" t="s">
        <v>1030</v>
      </c>
      <c r="B14" s="192" t="s">
        <v>491</v>
      </c>
      <c r="C14" s="192" t="s">
        <v>837</v>
      </c>
      <c r="D14" s="192" t="s">
        <v>997</v>
      </c>
      <c r="E14" s="192" t="s">
        <v>998</v>
      </c>
      <c r="F14" s="192" t="s">
        <v>1031</v>
      </c>
      <c r="G14" s="193">
        <v>46086</v>
      </c>
      <c r="H14" s="192" t="s">
        <v>1000</v>
      </c>
      <c r="I14" s="192" t="s">
        <v>1036</v>
      </c>
      <c r="J14" s="192" t="s">
        <v>1037</v>
      </c>
      <c r="K14" s="192" t="s">
        <v>15</v>
      </c>
      <c r="L14" s="192">
        <v>12</v>
      </c>
      <c r="M14" s="193">
        <v>46137</v>
      </c>
      <c r="N14" s="192">
        <v>12</v>
      </c>
      <c r="O14" s="192">
        <v>12</v>
      </c>
      <c r="P14" s="192">
        <v>12</v>
      </c>
      <c r="Q14" s="192">
        <v>12</v>
      </c>
      <c r="R14" s="192">
        <v>12</v>
      </c>
      <c r="S14" s="192">
        <v>12</v>
      </c>
      <c r="T14" s="192">
        <v>12</v>
      </c>
      <c r="U14" s="192">
        <f t="shared" si="0"/>
        <v>0</v>
      </c>
      <c r="V14" s="192">
        <v>12</v>
      </c>
      <c r="W14" s="192">
        <f t="shared" si="1"/>
        <v>0</v>
      </c>
      <c r="X14" s="194">
        <f t="shared" si="2"/>
        <v>0</v>
      </c>
      <c r="Y14" s="194">
        <f t="shared" si="3"/>
        <v>0</v>
      </c>
      <c r="Z14" s="194">
        <f t="shared" si="4"/>
        <v>0</v>
      </c>
      <c r="AA14" s="194">
        <f t="shared" si="5"/>
        <v>0</v>
      </c>
      <c r="AB14" s="194">
        <f t="shared" si="6"/>
        <v>0</v>
      </c>
      <c r="AC14" s="194">
        <f t="shared" si="7"/>
        <v>0</v>
      </c>
      <c r="AD14" s="194">
        <f t="shared" si="8"/>
        <v>0</v>
      </c>
      <c r="AE14" s="194">
        <f t="shared" si="9"/>
        <v>0</v>
      </c>
      <c r="AF14" s="194">
        <v>0</v>
      </c>
      <c r="AG14" s="194">
        <v>0</v>
      </c>
      <c r="AH14" s="194">
        <v>0</v>
      </c>
      <c r="AI14" s="194">
        <v>0</v>
      </c>
      <c r="AJ14" s="194">
        <v>0</v>
      </c>
      <c r="AK14" s="194">
        <f t="shared" si="10"/>
        <v>0</v>
      </c>
    </row>
    <row r="15" spans="1:37" ht="15" customHeight="1" x14ac:dyDescent="0.25">
      <c r="A15" s="192" t="s">
        <v>1030</v>
      </c>
      <c r="B15" s="192" t="s">
        <v>491</v>
      </c>
      <c r="C15" s="192" t="s">
        <v>837</v>
      </c>
      <c r="D15" s="192" t="s">
        <v>997</v>
      </c>
      <c r="E15" s="192" t="s">
        <v>998</v>
      </c>
      <c r="F15" s="192" t="s">
        <v>1031</v>
      </c>
      <c r="G15" s="193">
        <v>46086</v>
      </c>
      <c r="H15" s="192" t="s">
        <v>1000</v>
      </c>
      <c r="I15" s="192" t="s">
        <v>1038</v>
      </c>
      <c r="J15" s="192" t="s">
        <v>1039</v>
      </c>
      <c r="K15" s="192" t="s">
        <v>13</v>
      </c>
      <c r="L15" s="192">
        <v>12</v>
      </c>
      <c r="M15" s="193">
        <v>46137</v>
      </c>
      <c r="N15" s="192">
        <v>12</v>
      </c>
      <c r="O15" s="192">
        <v>12</v>
      </c>
      <c r="P15" s="192">
        <v>12</v>
      </c>
      <c r="Q15" s="192">
        <v>12</v>
      </c>
      <c r="R15" s="192">
        <v>12</v>
      </c>
      <c r="S15" s="192">
        <v>12</v>
      </c>
      <c r="T15" s="192">
        <v>12</v>
      </c>
      <c r="U15" s="192">
        <f t="shared" si="0"/>
        <v>0</v>
      </c>
      <c r="V15" s="192">
        <v>12</v>
      </c>
      <c r="W15" s="192">
        <f t="shared" si="1"/>
        <v>0</v>
      </c>
      <c r="X15" s="194">
        <f t="shared" si="2"/>
        <v>0</v>
      </c>
      <c r="Y15" s="194">
        <f t="shared" si="3"/>
        <v>0</v>
      </c>
      <c r="Z15" s="194">
        <f t="shared" si="4"/>
        <v>0</v>
      </c>
      <c r="AA15" s="194">
        <f t="shared" si="5"/>
        <v>0</v>
      </c>
      <c r="AB15" s="194">
        <f t="shared" si="6"/>
        <v>0</v>
      </c>
      <c r="AC15" s="194">
        <f t="shared" si="7"/>
        <v>0</v>
      </c>
      <c r="AD15" s="194">
        <f t="shared" si="8"/>
        <v>0</v>
      </c>
      <c r="AE15" s="194">
        <f t="shared" si="9"/>
        <v>0</v>
      </c>
      <c r="AF15" s="194">
        <v>0</v>
      </c>
      <c r="AG15" s="194">
        <v>0</v>
      </c>
      <c r="AH15" s="194">
        <v>0</v>
      </c>
      <c r="AI15" s="194">
        <v>0</v>
      </c>
      <c r="AJ15" s="194">
        <v>0</v>
      </c>
      <c r="AK15" s="194">
        <f t="shared" si="10"/>
        <v>0</v>
      </c>
    </row>
    <row r="16" spans="1:37" ht="15" customHeight="1" x14ac:dyDescent="0.25">
      <c r="A16" s="192" t="s">
        <v>1030</v>
      </c>
      <c r="B16" s="192" t="s">
        <v>491</v>
      </c>
      <c r="C16" s="192" t="s">
        <v>837</v>
      </c>
      <c r="D16" s="192" t="s">
        <v>997</v>
      </c>
      <c r="E16" s="192" t="s">
        <v>998</v>
      </c>
      <c r="F16" s="192" t="s">
        <v>1031</v>
      </c>
      <c r="G16" s="193">
        <v>46086</v>
      </c>
      <c r="H16" s="192" t="s">
        <v>1000</v>
      </c>
      <c r="I16" s="192" t="s">
        <v>1040</v>
      </c>
      <c r="J16" s="192" t="s">
        <v>1041</v>
      </c>
      <c r="K16" s="192" t="s">
        <v>15</v>
      </c>
      <c r="L16" s="192">
        <v>30</v>
      </c>
      <c r="M16" s="193">
        <v>46137</v>
      </c>
      <c r="N16" s="192">
        <v>30</v>
      </c>
      <c r="O16" s="192">
        <v>30</v>
      </c>
      <c r="P16" s="192">
        <v>30</v>
      </c>
      <c r="Q16" s="192">
        <v>30</v>
      </c>
      <c r="R16" s="192">
        <v>30</v>
      </c>
      <c r="S16" s="192">
        <v>30</v>
      </c>
      <c r="T16" s="192">
        <v>30</v>
      </c>
      <c r="U16" s="192">
        <f t="shared" si="0"/>
        <v>0</v>
      </c>
      <c r="V16" s="192">
        <v>30</v>
      </c>
      <c r="W16" s="192">
        <f t="shared" si="1"/>
        <v>0</v>
      </c>
      <c r="X16" s="194">
        <f t="shared" si="2"/>
        <v>0</v>
      </c>
      <c r="Y16" s="194">
        <f t="shared" si="3"/>
        <v>0</v>
      </c>
      <c r="Z16" s="194">
        <f t="shared" si="4"/>
        <v>0</v>
      </c>
      <c r="AA16" s="194">
        <f t="shared" si="5"/>
        <v>0</v>
      </c>
      <c r="AB16" s="194">
        <f t="shared" si="6"/>
        <v>0</v>
      </c>
      <c r="AC16" s="194">
        <f t="shared" si="7"/>
        <v>0</v>
      </c>
      <c r="AD16" s="194">
        <f t="shared" si="8"/>
        <v>0</v>
      </c>
      <c r="AE16" s="194">
        <f t="shared" si="9"/>
        <v>0</v>
      </c>
      <c r="AF16" s="194">
        <v>0</v>
      </c>
      <c r="AG16" s="194">
        <v>0</v>
      </c>
      <c r="AH16" s="194">
        <v>0</v>
      </c>
      <c r="AI16" s="194">
        <v>0</v>
      </c>
      <c r="AJ16" s="194">
        <v>0</v>
      </c>
      <c r="AK16" s="194">
        <f t="shared" si="10"/>
        <v>0</v>
      </c>
    </row>
    <row r="17" spans="1:37" ht="15" customHeight="1" x14ac:dyDescent="0.25">
      <c r="A17" s="192" t="s">
        <v>1042</v>
      </c>
      <c r="B17" s="192" t="s">
        <v>385</v>
      </c>
      <c r="C17" s="192" t="s">
        <v>1043</v>
      </c>
      <c r="D17" s="192" t="s">
        <v>997</v>
      </c>
      <c r="E17" s="192" t="s">
        <v>998</v>
      </c>
      <c r="F17" s="192" t="s">
        <v>1044</v>
      </c>
      <c r="G17" s="193">
        <v>45996</v>
      </c>
      <c r="H17" s="192" t="s">
        <v>1000</v>
      </c>
      <c r="I17" s="192" t="s">
        <v>1045</v>
      </c>
      <c r="J17" s="192" t="s">
        <v>1046</v>
      </c>
      <c r="K17" s="192" t="s">
        <v>13</v>
      </c>
      <c r="L17" s="192">
        <v>6</v>
      </c>
      <c r="M17" s="193">
        <v>46050</v>
      </c>
      <c r="N17" s="192">
        <v>6</v>
      </c>
      <c r="O17" s="192">
        <v>6</v>
      </c>
      <c r="P17" s="192">
        <v>6</v>
      </c>
      <c r="Q17" s="192">
        <v>6</v>
      </c>
      <c r="R17" s="192">
        <v>6</v>
      </c>
      <c r="S17" s="192">
        <v>6</v>
      </c>
      <c r="T17" s="192">
        <v>6</v>
      </c>
      <c r="U17" s="192">
        <f t="shared" si="0"/>
        <v>0</v>
      </c>
      <c r="V17" s="192">
        <v>6</v>
      </c>
      <c r="W17" s="192">
        <f t="shared" si="1"/>
        <v>0</v>
      </c>
      <c r="X17" s="194">
        <f t="shared" si="2"/>
        <v>0</v>
      </c>
      <c r="Y17" s="194">
        <f t="shared" si="3"/>
        <v>0</v>
      </c>
      <c r="Z17" s="194">
        <f t="shared" si="4"/>
        <v>0</v>
      </c>
      <c r="AA17" s="194">
        <f t="shared" si="5"/>
        <v>0</v>
      </c>
      <c r="AB17" s="194">
        <f t="shared" si="6"/>
        <v>0</v>
      </c>
      <c r="AC17" s="194">
        <f t="shared" si="7"/>
        <v>0</v>
      </c>
      <c r="AD17" s="194">
        <f t="shared" si="8"/>
        <v>0</v>
      </c>
      <c r="AE17" s="194">
        <f t="shared" si="9"/>
        <v>0</v>
      </c>
      <c r="AF17" s="194">
        <v>0</v>
      </c>
      <c r="AG17" s="194">
        <v>0</v>
      </c>
      <c r="AH17" s="194">
        <v>0</v>
      </c>
      <c r="AI17" s="194">
        <v>0</v>
      </c>
      <c r="AJ17" s="194">
        <v>0</v>
      </c>
      <c r="AK17" s="194">
        <f t="shared" si="10"/>
        <v>0</v>
      </c>
    </row>
    <row r="18" spans="1:37" ht="15" customHeight="1" x14ac:dyDescent="0.25">
      <c r="A18" s="192" t="s">
        <v>1042</v>
      </c>
      <c r="B18" s="192" t="s">
        <v>385</v>
      </c>
      <c r="C18" s="192" t="s">
        <v>1043</v>
      </c>
      <c r="D18" s="192" t="s">
        <v>997</v>
      </c>
      <c r="E18" s="192" t="s">
        <v>998</v>
      </c>
      <c r="F18" s="192" t="s">
        <v>1044</v>
      </c>
      <c r="G18" s="193">
        <v>45996</v>
      </c>
      <c r="H18" s="192" t="s">
        <v>1000</v>
      </c>
      <c r="I18" s="192" t="s">
        <v>1005</v>
      </c>
      <c r="J18" s="192" t="s">
        <v>1006</v>
      </c>
      <c r="K18" s="192" t="s">
        <v>13</v>
      </c>
      <c r="L18" s="192">
        <v>12</v>
      </c>
      <c r="M18" s="193">
        <v>46050</v>
      </c>
      <c r="N18" s="192">
        <v>12</v>
      </c>
      <c r="O18" s="192">
        <v>12</v>
      </c>
      <c r="P18" s="192">
        <v>12</v>
      </c>
      <c r="Q18" s="192">
        <v>12</v>
      </c>
      <c r="R18" s="192">
        <v>12</v>
      </c>
      <c r="S18" s="192">
        <v>12</v>
      </c>
      <c r="T18" s="192">
        <v>12</v>
      </c>
      <c r="U18" s="192">
        <f t="shared" si="0"/>
        <v>0</v>
      </c>
      <c r="V18" s="192">
        <v>12</v>
      </c>
      <c r="W18" s="192">
        <f t="shared" si="1"/>
        <v>0</v>
      </c>
      <c r="X18" s="194">
        <f t="shared" si="2"/>
        <v>0</v>
      </c>
      <c r="Y18" s="194">
        <f t="shared" si="3"/>
        <v>0</v>
      </c>
      <c r="Z18" s="194">
        <f t="shared" si="4"/>
        <v>0</v>
      </c>
      <c r="AA18" s="194">
        <f t="shared" si="5"/>
        <v>0</v>
      </c>
      <c r="AB18" s="194">
        <f t="shared" si="6"/>
        <v>0</v>
      </c>
      <c r="AC18" s="194">
        <f t="shared" si="7"/>
        <v>0</v>
      </c>
      <c r="AD18" s="194">
        <f t="shared" si="8"/>
        <v>0</v>
      </c>
      <c r="AE18" s="194">
        <f t="shared" si="9"/>
        <v>0</v>
      </c>
      <c r="AF18" s="194">
        <v>0</v>
      </c>
      <c r="AG18" s="194">
        <v>0</v>
      </c>
      <c r="AH18" s="194">
        <v>0</v>
      </c>
      <c r="AI18" s="194">
        <v>0</v>
      </c>
      <c r="AJ18" s="194">
        <v>0</v>
      </c>
      <c r="AK18" s="194">
        <f t="shared" si="10"/>
        <v>0</v>
      </c>
    </row>
    <row r="19" spans="1:37" ht="15" customHeight="1" x14ac:dyDescent="0.25">
      <c r="A19" s="192" t="s">
        <v>1042</v>
      </c>
      <c r="B19" s="192" t="s">
        <v>385</v>
      </c>
      <c r="C19" s="192" t="s">
        <v>1043</v>
      </c>
      <c r="D19" s="192" t="s">
        <v>997</v>
      </c>
      <c r="E19" s="192" t="s">
        <v>998</v>
      </c>
      <c r="F19" s="192" t="s">
        <v>1044</v>
      </c>
      <c r="G19" s="193">
        <v>45996</v>
      </c>
      <c r="H19" s="192" t="s">
        <v>1000</v>
      </c>
      <c r="I19" s="192" t="s">
        <v>1011</v>
      </c>
      <c r="J19" s="192" t="s">
        <v>1012</v>
      </c>
      <c r="K19" s="192" t="s">
        <v>13</v>
      </c>
      <c r="L19" s="192">
        <v>12</v>
      </c>
      <c r="M19" s="193">
        <v>46050</v>
      </c>
      <c r="N19" s="192">
        <v>12</v>
      </c>
      <c r="O19" s="192">
        <v>12</v>
      </c>
      <c r="P19" s="192">
        <v>12</v>
      </c>
      <c r="Q19" s="192">
        <v>12</v>
      </c>
      <c r="R19" s="192">
        <v>12</v>
      </c>
      <c r="S19" s="192">
        <v>12</v>
      </c>
      <c r="T19" s="192">
        <v>12</v>
      </c>
      <c r="U19" s="192">
        <f t="shared" si="0"/>
        <v>0</v>
      </c>
      <c r="V19" s="192">
        <v>12</v>
      </c>
      <c r="W19" s="192">
        <f t="shared" si="1"/>
        <v>0</v>
      </c>
      <c r="X19" s="194">
        <f t="shared" si="2"/>
        <v>0</v>
      </c>
      <c r="Y19" s="194">
        <f t="shared" si="3"/>
        <v>0</v>
      </c>
      <c r="Z19" s="194">
        <f t="shared" si="4"/>
        <v>0</v>
      </c>
      <c r="AA19" s="194">
        <f t="shared" si="5"/>
        <v>0</v>
      </c>
      <c r="AB19" s="194">
        <f t="shared" si="6"/>
        <v>0</v>
      </c>
      <c r="AC19" s="194">
        <f t="shared" si="7"/>
        <v>0</v>
      </c>
      <c r="AD19" s="194">
        <f t="shared" si="8"/>
        <v>0</v>
      </c>
      <c r="AE19" s="194">
        <f t="shared" si="9"/>
        <v>0</v>
      </c>
      <c r="AF19" s="194">
        <v>0</v>
      </c>
      <c r="AG19" s="194">
        <v>0</v>
      </c>
      <c r="AH19" s="194">
        <v>0</v>
      </c>
      <c r="AI19" s="194">
        <v>0</v>
      </c>
      <c r="AJ19" s="194">
        <v>0</v>
      </c>
      <c r="AK19" s="194">
        <f t="shared" si="10"/>
        <v>0</v>
      </c>
    </row>
    <row r="20" spans="1:37" ht="15" customHeight="1" x14ac:dyDescent="0.25">
      <c r="A20" s="192" t="s">
        <v>1042</v>
      </c>
      <c r="B20" s="192" t="s">
        <v>385</v>
      </c>
      <c r="C20" s="192" t="s">
        <v>1043</v>
      </c>
      <c r="D20" s="192" t="s">
        <v>997</v>
      </c>
      <c r="E20" s="192" t="s">
        <v>998</v>
      </c>
      <c r="F20" s="192" t="s">
        <v>1044</v>
      </c>
      <c r="G20" s="193">
        <v>45996</v>
      </c>
      <c r="H20" s="192" t="s">
        <v>1000</v>
      </c>
      <c r="I20" s="192" t="s">
        <v>1009</v>
      </c>
      <c r="J20" s="192" t="s">
        <v>1010</v>
      </c>
      <c r="K20" s="192" t="s">
        <v>13</v>
      </c>
      <c r="L20" s="192">
        <v>12</v>
      </c>
      <c r="M20" s="193">
        <v>46050</v>
      </c>
      <c r="N20" s="192">
        <v>12</v>
      </c>
      <c r="O20" s="192">
        <v>12</v>
      </c>
      <c r="P20" s="192">
        <v>12</v>
      </c>
      <c r="Q20" s="192">
        <v>12</v>
      </c>
      <c r="R20" s="192">
        <v>12</v>
      </c>
      <c r="S20" s="192">
        <v>12</v>
      </c>
      <c r="T20" s="192">
        <v>12</v>
      </c>
      <c r="U20" s="192">
        <f t="shared" si="0"/>
        <v>0</v>
      </c>
      <c r="V20" s="192">
        <v>12</v>
      </c>
      <c r="W20" s="192">
        <f t="shared" si="1"/>
        <v>0</v>
      </c>
      <c r="X20" s="194">
        <f t="shared" si="2"/>
        <v>0</v>
      </c>
      <c r="Y20" s="194">
        <f t="shared" si="3"/>
        <v>0</v>
      </c>
      <c r="Z20" s="194">
        <f t="shared" si="4"/>
        <v>0</v>
      </c>
      <c r="AA20" s="194">
        <f t="shared" si="5"/>
        <v>0</v>
      </c>
      <c r="AB20" s="194">
        <f t="shared" si="6"/>
        <v>0</v>
      </c>
      <c r="AC20" s="194">
        <f t="shared" si="7"/>
        <v>0</v>
      </c>
      <c r="AD20" s="194">
        <f t="shared" si="8"/>
        <v>0</v>
      </c>
      <c r="AE20" s="194">
        <f t="shared" si="9"/>
        <v>0</v>
      </c>
      <c r="AF20" s="194">
        <v>0</v>
      </c>
      <c r="AG20" s="194">
        <v>0</v>
      </c>
      <c r="AH20" s="194">
        <v>0</v>
      </c>
      <c r="AI20" s="194">
        <v>0</v>
      </c>
      <c r="AJ20" s="194">
        <v>0</v>
      </c>
      <c r="AK20" s="194">
        <f t="shared" si="10"/>
        <v>0</v>
      </c>
    </row>
    <row r="21" spans="1:37" ht="15" customHeight="1" x14ac:dyDescent="0.25">
      <c r="A21" s="192" t="s">
        <v>1042</v>
      </c>
      <c r="B21" s="192" t="s">
        <v>385</v>
      </c>
      <c r="C21" s="192" t="s">
        <v>1043</v>
      </c>
      <c r="D21" s="192" t="s">
        <v>997</v>
      </c>
      <c r="E21" s="192" t="s">
        <v>998</v>
      </c>
      <c r="F21" s="192" t="s">
        <v>1044</v>
      </c>
      <c r="G21" s="193">
        <v>45996</v>
      </c>
      <c r="H21" s="192" t="s">
        <v>1000</v>
      </c>
      <c r="I21" s="192" t="s">
        <v>1047</v>
      </c>
      <c r="J21" s="192" t="s">
        <v>1048</v>
      </c>
      <c r="K21" s="192" t="s">
        <v>13</v>
      </c>
      <c r="L21" s="192">
        <v>6</v>
      </c>
      <c r="M21" s="193">
        <v>46050</v>
      </c>
      <c r="N21" s="192">
        <v>6</v>
      </c>
      <c r="O21" s="192">
        <v>6</v>
      </c>
      <c r="P21" s="192">
        <v>6</v>
      </c>
      <c r="Q21" s="192">
        <v>6</v>
      </c>
      <c r="R21" s="192">
        <v>6</v>
      </c>
      <c r="S21" s="192">
        <v>6</v>
      </c>
      <c r="T21" s="192">
        <v>6</v>
      </c>
      <c r="U21" s="192">
        <f t="shared" si="0"/>
        <v>0</v>
      </c>
      <c r="V21" s="192">
        <v>6</v>
      </c>
      <c r="W21" s="192">
        <f t="shared" si="1"/>
        <v>0</v>
      </c>
      <c r="X21" s="194">
        <f t="shared" si="2"/>
        <v>0</v>
      </c>
      <c r="Y21" s="194">
        <f t="shared" si="3"/>
        <v>0</v>
      </c>
      <c r="Z21" s="194">
        <f t="shared" si="4"/>
        <v>0</v>
      </c>
      <c r="AA21" s="194">
        <f t="shared" si="5"/>
        <v>0</v>
      </c>
      <c r="AB21" s="194">
        <f t="shared" si="6"/>
        <v>0</v>
      </c>
      <c r="AC21" s="194">
        <f t="shared" si="7"/>
        <v>0</v>
      </c>
      <c r="AD21" s="194">
        <f t="shared" si="8"/>
        <v>0</v>
      </c>
      <c r="AE21" s="194">
        <f t="shared" si="9"/>
        <v>0</v>
      </c>
      <c r="AF21" s="194">
        <v>0</v>
      </c>
      <c r="AG21" s="194">
        <v>0</v>
      </c>
      <c r="AH21" s="194">
        <v>0</v>
      </c>
      <c r="AI21" s="194">
        <v>0</v>
      </c>
      <c r="AJ21" s="194">
        <v>0</v>
      </c>
      <c r="AK21" s="194">
        <f t="shared" si="10"/>
        <v>0</v>
      </c>
    </row>
    <row r="22" spans="1:37" ht="15" customHeight="1" x14ac:dyDescent="0.25">
      <c r="A22" s="192" t="s">
        <v>1042</v>
      </c>
      <c r="B22" s="192" t="s">
        <v>385</v>
      </c>
      <c r="C22" s="192" t="s">
        <v>1043</v>
      </c>
      <c r="D22" s="192" t="s">
        <v>997</v>
      </c>
      <c r="E22" s="192" t="s">
        <v>998</v>
      </c>
      <c r="F22" s="192" t="s">
        <v>1044</v>
      </c>
      <c r="G22" s="193">
        <v>45996</v>
      </c>
      <c r="H22" s="192" t="s">
        <v>1000</v>
      </c>
      <c r="I22" s="192" t="s">
        <v>1049</v>
      </c>
      <c r="J22" s="192" t="s">
        <v>1050</v>
      </c>
      <c r="K22" s="192" t="s">
        <v>13</v>
      </c>
      <c r="L22" s="192">
        <v>6</v>
      </c>
      <c r="M22" s="193">
        <v>46050</v>
      </c>
      <c r="N22" s="192">
        <v>6</v>
      </c>
      <c r="O22" s="192">
        <v>6</v>
      </c>
      <c r="P22" s="192">
        <v>6</v>
      </c>
      <c r="Q22" s="192">
        <v>6</v>
      </c>
      <c r="R22" s="192">
        <v>6</v>
      </c>
      <c r="S22" s="192">
        <v>6</v>
      </c>
      <c r="T22" s="192">
        <v>6</v>
      </c>
      <c r="U22" s="192">
        <f t="shared" si="0"/>
        <v>0</v>
      </c>
      <c r="V22" s="192">
        <v>6</v>
      </c>
      <c r="W22" s="192">
        <f t="shared" si="1"/>
        <v>0</v>
      </c>
      <c r="X22" s="194">
        <f t="shared" si="2"/>
        <v>0</v>
      </c>
      <c r="Y22" s="194">
        <f t="shared" si="3"/>
        <v>0</v>
      </c>
      <c r="Z22" s="194">
        <f t="shared" si="4"/>
        <v>0</v>
      </c>
      <c r="AA22" s="194">
        <f t="shared" si="5"/>
        <v>0</v>
      </c>
      <c r="AB22" s="194">
        <f t="shared" si="6"/>
        <v>0</v>
      </c>
      <c r="AC22" s="194">
        <f t="shared" si="7"/>
        <v>0</v>
      </c>
      <c r="AD22" s="194">
        <f t="shared" si="8"/>
        <v>0</v>
      </c>
      <c r="AE22" s="194">
        <f t="shared" si="9"/>
        <v>0</v>
      </c>
      <c r="AF22" s="194">
        <v>0</v>
      </c>
      <c r="AG22" s="194">
        <v>0</v>
      </c>
      <c r="AH22" s="194">
        <v>0</v>
      </c>
      <c r="AI22" s="194">
        <v>0</v>
      </c>
      <c r="AJ22" s="194">
        <v>0</v>
      </c>
      <c r="AK22" s="194">
        <f t="shared" si="10"/>
        <v>0</v>
      </c>
    </row>
    <row r="23" spans="1:37" ht="15" customHeight="1" x14ac:dyDescent="0.25">
      <c r="A23" s="192" t="s">
        <v>1042</v>
      </c>
      <c r="B23" s="192" t="s">
        <v>385</v>
      </c>
      <c r="C23" s="192" t="s">
        <v>1043</v>
      </c>
      <c r="D23" s="192" t="s">
        <v>997</v>
      </c>
      <c r="E23" s="192" t="s">
        <v>998</v>
      </c>
      <c r="F23" s="192" t="s">
        <v>1044</v>
      </c>
      <c r="G23" s="193">
        <v>45996</v>
      </c>
      <c r="H23" s="192" t="s">
        <v>1000</v>
      </c>
      <c r="I23" s="192" t="s">
        <v>1051</v>
      </c>
      <c r="J23" s="192" t="s">
        <v>1052</v>
      </c>
      <c r="K23" s="192" t="s">
        <v>13</v>
      </c>
      <c r="L23" s="192">
        <v>6</v>
      </c>
      <c r="M23" s="193">
        <v>46050</v>
      </c>
      <c r="N23" s="192">
        <v>6</v>
      </c>
      <c r="O23" s="192">
        <v>6</v>
      </c>
      <c r="P23" s="192">
        <v>6</v>
      </c>
      <c r="Q23" s="192">
        <v>6</v>
      </c>
      <c r="R23" s="192">
        <v>6</v>
      </c>
      <c r="S23" s="192">
        <v>6</v>
      </c>
      <c r="T23" s="192">
        <v>6</v>
      </c>
      <c r="U23" s="192">
        <f t="shared" si="0"/>
        <v>0</v>
      </c>
      <c r="V23" s="192">
        <v>6</v>
      </c>
      <c r="W23" s="192">
        <f t="shared" si="1"/>
        <v>0</v>
      </c>
      <c r="X23" s="194">
        <f t="shared" si="2"/>
        <v>0</v>
      </c>
      <c r="Y23" s="194">
        <f t="shared" si="3"/>
        <v>0</v>
      </c>
      <c r="Z23" s="194">
        <f t="shared" si="4"/>
        <v>0</v>
      </c>
      <c r="AA23" s="194">
        <f t="shared" si="5"/>
        <v>0</v>
      </c>
      <c r="AB23" s="194">
        <f t="shared" si="6"/>
        <v>0</v>
      </c>
      <c r="AC23" s="194">
        <f t="shared" si="7"/>
        <v>0</v>
      </c>
      <c r="AD23" s="194">
        <f t="shared" si="8"/>
        <v>0</v>
      </c>
      <c r="AE23" s="194">
        <f t="shared" si="9"/>
        <v>0</v>
      </c>
      <c r="AF23" s="194">
        <v>0</v>
      </c>
      <c r="AG23" s="194">
        <v>0</v>
      </c>
      <c r="AH23" s="194">
        <v>0</v>
      </c>
      <c r="AI23" s="194">
        <v>0</v>
      </c>
      <c r="AJ23" s="194">
        <v>0</v>
      </c>
      <c r="AK23" s="194">
        <f t="shared" si="10"/>
        <v>0</v>
      </c>
    </row>
    <row r="24" spans="1:37" ht="15" customHeight="1" x14ac:dyDescent="0.25">
      <c r="A24" s="192" t="s">
        <v>1042</v>
      </c>
      <c r="B24" s="192" t="s">
        <v>385</v>
      </c>
      <c r="C24" s="192" t="s">
        <v>1043</v>
      </c>
      <c r="D24" s="192" t="s">
        <v>997</v>
      </c>
      <c r="E24" s="192" t="s">
        <v>998</v>
      </c>
      <c r="F24" s="192" t="s">
        <v>1044</v>
      </c>
      <c r="G24" s="193">
        <v>45996</v>
      </c>
      <c r="H24" s="192" t="s">
        <v>1000</v>
      </c>
      <c r="I24" s="192" t="s">
        <v>1053</v>
      </c>
      <c r="J24" s="192" t="s">
        <v>1054</v>
      </c>
      <c r="K24" s="192" t="s">
        <v>13</v>
      </c>
      <c r="L24" s="192">
        <v>4</v>
      </c>
      <c r="M24" s="193">
        <v>46050</v>
      </c>
      <c r="N24" s="192">
        <v>4</v>
      </c>
      <c r="O24" s="192">
        <v>4</v>
      </c>
      <c r="P24" s="192">
        <v>4</v>
      </c>
      <c r="Q24" s="192">
        <v>4</v>
      </c>
      <c r="R24" s="192">
        <v>4</v>
      </c>
      <c r="S24" s="192">
        <v>4</v>
      </c>
      <c r="T24" s="192">
        <v>4</v>
      </c>
      <c r="U24" s="192">
        <f t="shared" si="0"/>
        <v>0</v>
      </c>
      <c r="V24" s="192">
        <v>4</v>
      </c>
      <c r="W24" s="192">
        <f t="shared" si="1"/>
        <v>0</v>
      </c>
      <c r="X24" s="194">
        <f t="shared" si="2"/>
        <v>0</v>
      </c>
      <c r="Y24" s="194">
        <f t="shared" si="3"/>
        <v>0</v>
      </c>
      <c r="Z24" s="194">
        <f t="shared" si="4"/>
        <v>0</v>
      </c>
      <c r="AA24" s="194">
        <f t="shared" si="5"/>
        <v>0</v>
      </c>
      <c r="AB24" s="194">
        <f t="shared" si="6"/>
        <v>0</v>
      </c>
      <c r="AC24" s="194">
        <f t="shared" si="7"/>
        <v>0</v>
      </c>
      <c r="AD24" s="194">
        <f t="shared" si="8"/>
        <v>0</v>
      </c>
      <c r="AE24" s="194">
        <f t="shared" si="9"/>
        <v>0</v>
      </c>
      <c r="AF24" s="194">
        <v>0</v>
      </c>
      <c r="AG24" s="194">
        <v>0</v>
      </c>
      <c r="AH24" s="194">
        <v>0</v>
      </c>
      <c r="AI24" s="194">
        <v>0</v>
      </c>
      <c r="AJ24" s="194">
        <v>0</v>
      </c>
      <c r="AK24" s="194">
        <f t="shared" si="10"/>
        <v>0</v>
      </c>
    </row>
    <row r="25" spans="1:37" ht="15" customHeight="1" x14ac:dyDescent="0.25">
      <c r="A25" s="192" t="s">
        <v>1042</v>
      </c>
      <c r="B25" s="192" t="s">
        <v>385</v>
      </c>
      <c r="C25" s="192" t="s">
        <v>1043</v>
      </c>
      <c r="D25" s="192" t="s">
        <v>997</v>
      </c>
      <c r="E25" s="192" t="s">
        <v>998</v>
      </c>
      <c r="F25" s="192" t="s">
        <v>1044</v>
      </c>
      <c r="G25" s="193">
        <v>45996</v>
      </c>
      <c r="H25" s="192" t="s">
        <v>1000</v>
      </c>
      <c r="I25" s="192" t="s">
        <v>1055</v>
      </c>
      <c r="J25" s="192" t="s">
        <v>1056</v>
      </c>
      <c r="K25" s="192" t="s">
        <v>13</v>
      </c>
      <c r="L25" s="192">
        <v>10</v>
      </c>
      <c r="M25" s="193">
        <v>46050</v>
      </c>
      <c r="N25" s="192">
        <v>10</v>
      </c>
      <c r="O25" s="192">
        <v>10</v>
      </c>
      <c r="P25" s="192">
        <v>10</v>
      </c>
      <c r="Q25" s="192">
        <v>10</v>
      </c>
      <c r="R25" s="192">
        <v>10</v>
      </c>
      <c r="S25" s="192">
        <v>10</v>
      </c>
      <c r="T25" s="192">
        <v>10</v>
      </c>
      <c r="U25" s="192">
        <f t="shared" si="0"/>
        <v>0</v>
      </c>
      <c r="V25" s="192">
        <v>10</v>
      </c>
      <c r="W25" s="192">
        <f t="shared" si="1"/>
        <v>0</v>
      </c>
      <c r="X25" s="194">
        <f t="shared" si="2"/>
        <v>0</v>
      </c>
      <c r="Y25" s="194">
        <f t="shared" si="3"/>
        <v>0</v>
      </c>
      <c r="Z25" s="194">
        <f t="shared" si="4"/>
        <v>0</v>
      </c>
      <c r="AA25" s="194">
        <f t="shared" si="5"/>
        <v>0</v>
      </c>
      <c r="AB25" s="194">
        <f t="shared" si="6"/>
        <v>0</v>
      </c>
      <c r="AC25" s="194">
        <f t="shared" si="7"/>
        <v>0</v>
      </c>
      <c r="AD25" s="194">
        <f t="shared" si="8"/>
        <v>0</v>
      </c>
      <c r="AE25" s="194">
        <f t="shared" si="9"/>
        <v>0</v>
      </c>
      <c r="AF25" s="194">
        <v>0</v>
      </c>
      <c r="AG25" s="194">
        <v>0</v>
      </c>
      <c r="AH25" s="194">
        <v>0</v>
      </c>
      <c r="AI25" s="194">
        <v>0</v>
      </c>
      <c r="AJ25" s="194">
        <v>0</v>
      </c>
      <c r="AK25" s="194">
        <f t="shared" si="10"/>
        <v>0</v>
      </c>
    </row>
    <row r="26" spans="1:37" ht="15" customHeight="1" x14ac:dyDescent="0.25">
      <c r="A26" s="192" t="s">
        <v>1042</v>
      </c>
      <c r="B26" s="192" t="s">
        <v>385</v>
      </c>
      <c r="C26" s="192" t="s">
        <v>1043</v>
      </c>
      <c r="D26" s="192" t="s">
        <v>997</v>
      </c>
      <c r="E26" s="192" t="s">
        <v>998</v>
      </c>
      <c r="F26" s="192" t="s">
        <v>1044</v>
      </c>
      <c r="G26" s="193">
        <v>45996</v>
      </c>
      <c r="H26" s="192" t="s">
        <v>1000</v>
      </c>
      <c r="I26" s="192" t="s">
        <v>1057</v>
      </c>
      <c r="J26" s="192" t="s">
        <v>1058</v>
      </c>
      <c r="K26" s="192" t="s">
        <v>13</v>
      </c>
      <c r="L26" s="192">
        <v>6</v>
      </c>
      <c r="M26" s="193">
        <v>46050</v>
      </c>
      <c r="N26" s="192">
        <v>6</v>
      </c>
      <c r="O26" s="192">
        <v>6</v>
      </c>
      <c r="P26" s="192">
        <v>6</v>
      </c>
      <c r="Q26" s="192">
        <v>6</v>
      </c>
      <c r="R26" s="192">
        <v>6</v>
      </c>
      <c r="S26" s="192">
        <v>6</v>
      </c>
      <c r="T26" s="192">
        <v>6</v>
      </c>
      <c r="U26" s="192">
        <f t="shared" si="0"/>
        <v>0</v>
      </c>
      <c r="V26" s="192">
        <v>6</v>
      </c>
      <c r="W26" s="192">
        <f t="shared" si="1"/>
        <v>0</v>
      </c>
      <c r="X26" s="194">
        <f t="shared" si="2"/>
        <v>0</v>
      </c>
      <c r="Y26" s="194">
        <f t="shared" si="3"/>
        <v>0</v>
      </c>
      <c r="Z26" s="194">
        <f t="shared" si="4"/>
        <v>0</v>
      </c>
      <c r="AA26" s="194">
        <f t="shared" si="5"/>
        <v>0</v>
      </c>
      <c r="AB26" s="194">
        <f t="shared" si="6"/>
        <v>0</v>
      </c>
      <c r="AC26" s="194">
        <f t="shared" si="7"/>
        <v>0</v>
      </c>
      <c r="AD26" s="194">
        <f t="shared" si="8"/>
        <v>0</v>
      </c>
      <c r="AE26" s="194">
        <f t="shared" si="9"/>
        <v>0</v>
      </c>
      <c r="AF26" s="194">
        <v>0</v>
      </c>
      <c r="AG26" s="194">
        <v>0</v>
      </c>
      <c r="AH26" s="194">
        <v>0</v>
      </c>
      <c r="AI26" s="194">
        <v>0</v>
      </c>
      <c r="AJ26" s="194">
        <v>0</v>
      </c>
      <c r="AK26" s="194">
        <f t="shared" si="10"/>
        <v>0</v>
      </c>
    </row>
    <row r="27" spans="1:37" ht="15" customHeight="1" x14ac:dyDescent="0.25">
      <c r="A27" s="192" t="s">
        <v>1042</v>
      </c>
      <c r="B27" s="192" t="s">
        <v>385</v>
      </c>
      <c r="C27" s="192" t="s">
        <v>1043</v>
      </c>
      <c r="D27" s="192" t="s">
        <v>997</v>
      </c>
      <c r="E27" s="192" t="s">
        <v>998</v>
      </c>
      <c r="F27" s="192" t="s">
        <v>1044</v>
      </c>
      <c r="G27" s="193">
        <v>45996</v>
      </c>
      <c r="H27" s="192" t="s">
        <v>1000</v>
      </c>
      <c r="I27" s="192" t="s">
        <v>1059</v>
      </c>
      <c r="J27" s="192" t="s">
        <v>1060</v>
      </c>
      <c r="K27" s="192" t="s">
        <v>13</v>
      </c>
      <c r="L27" s="192">
        <v>12</v>
      </c>
      <c r="M27" s="193">
        <v>46050</v>
      </c>
      <c r="N27" s="192">
        <v>12</v>
      </c>
      <c r="O27" s="192">
        <v>12</v>
      </c>
      <c r="P27" s="192">
        <v>12</v>
      </c>
      <c r="Q27" s="192">
        <v>12</v>
      </c>
      <c r="R27" s="192">
        <v>12</v>
      </c>
      <c r="S27" s="192">
        <v>12</v>
      </c>
      <c r="T27" s="192">
        <v>12</v>
      </c>
      <c r="U27" s="192">
        <f t="shared" si="0"/>
        <v>0</v>
      </c>
      <c r="V27" s="192">
        <v>12</v>
      </c>
      <c r="W27" s="192">
        <f t="shared" si="1"/>
        <v>0</v>
      </c>
      <c r="X27" s="194">
        <f t="shared" si="2"/>
        <v>0</v>
      </c>
      <c r="Y27" s="194">
        <f t="shared" si="3"/>
        <v>0</v>
      </c>
      <c r="Z27" s="194">
        <f t="shared" si="4"/>
        <v>0</v>
      </c>
      <c r="AA27" s="194">
        <f t="shared" si="5"/>
        <v>0</v>
      </c>
      <c r="AB27" s="194">
        <f t="shared" si="6"/>
        <v>0</v>
      </c>
      <c r="AC27" s="194">
        <f t="shared" si="7"/>
        <v>0</v>
      </c>
      <c r="AD27" s="194">
        <f t="shared" si="8"/>
        <v>0</v>
      </c>
      <c r="AE27" s="194">
        <f t="shared" si="9"/>
        <v>0</v>
      </c>
      <c r="AF27" s="194">
        <v>0</v>
      </c>
      <c r="AG27" s="194">
        <v>0</v>
      </c>
      <c r="AH27" s="194">
        <v>0</v>
      </c>
      <c r="AI27" s="194">
        <v>0</v>
      </c>
      <c r="AJ27" s="194">
        <v>0</v>
      </c>
      <c r="AK27" s="194">
        <f t="shared" si="10"/>
        <v>0</v>
      </c>
    </row>
    <row r="28" spans="1:37" ht="15" customHeight="1" x14ac:dyDescent="0.25">
      <c r="A28" s="192" t="s">
        <v>1042</v>
      </c>
      <c r="B28" s="192" t="s">
        <v>385</v>
      </c>
      <c r="C28" s="192" t="s">
        <v>1043</v>
      </c>
      <c r="D28" s="192" t="s">
        <v>997</v>
      </c>
      <c r="E28" s="192" t="s">
        <v>998</v>
      </c>
      <c r="F28" s="192" t="s">
        <v>1044</v>
      </c>
      <c r="G28" s="193">
        <v>45996</v>
      </c>
      <c r="H28" s="192" t="s">
        <v>1000</v>
      </c>
      <c r="I28" s="192" t="s">
        <v>1061</v>
      </c>
      <c r="J28" s="192" t="s">
        <v>1062</v>
      </c>
      <c r="K28" s="192" t="s">
        <v>13</v>
      </c>
      <c r="L28" s="192">
        <v>4</v>
      </c>
      <c r="M28" s="193">
        <v>46050</v>
      </c>
      <c r="N28" s="192">
        <v>4</v>
      </c>
      <c r="O28" s="192">
        <v>4</v>
      </c>
      <c r="P28" s="192">
        <v>4</v>
      </c>
      <c r="Q28" s="192">
        <v>4</v>
      </c>
      <c r="R28" s="192">
        <v>4</v>
      </c>
      <c r="S28" s="192">
        <v>4</v>
      </c>
      <c r="T28" s="192">
        <v>4</v>
      </c>
      <c r="U28" s="192">
        <f t="shared" si="0"/>
        <v>0</v>
      </c>
      <c r="V28" s="192">
        <v>4</v>
      </c>
      <c r="W28" s="192">
        <f t="shared" si="1"/>
        <v>0</v>
      </c>
      <c r="X28" s="194">
        <f t="shared" si="2"/>
        <v>0</v>
      </c>
      <c r="Y28" s="194">
        <f t="shared" si="3"/>
        <v>0</v>
      </c>
      <c r="Z28" s="194">
        <f t="shared" si="4"/>
        <v>0</v>
      </c>
      <c r="AA28" s="194">
        <f t="shared" si="5"/>
        <v>0</v>
      </c>
      <c r="AB28" s="194">
        <f t="shared" si="6"/>
        <v>0</v>
      </c>
      <c r="AC28" s="194">
        <f t="shared" si="7"/>
        <v>0</v>
      </c>
      <c r="AD28" s="194">
        <f t="shared" si="8"/>
        <v>0</v>
      </c>
      <c r="AE28" s="194">
        <f t="shared" si="9"/>
        <v>0</v>
      </c>
      <c r="AF28" s="194">
        <v>0</v>
      </c>
      <c r="AG28" s="194">
        <v>0</v>
      </c>
      <c r="AH28" s="194">
        <v>0</v>
      </c>
      <c r="AI28" s="194">
        <v>0</v>
      </c>
      <c r="AJ28" s="194">
        <v>0</v>
      </c>
      <c r="AK28" s="194">
        <f t="shared" si="10"/>
        <v>0</v>
      </c>
    </row>
    <row r="29" spans="1:37" ht="15" customHeight="1" x14ac:dyDescent="0.25">
      <c r="A29" s="192" t="s">
        <v>1063</v>
      </c>
      <c r="B29" s="192" t="s">
        <v>391</v>
      </c>
      <c r="C29" s="192" t="s">
        <v>776</v>
      </c>
      <c r="D29" s="192" t="s">
        <v>997</v>
      </c>
      <c r="E29" s="192" t="s">
        <v>998</v>
      </c>
      <c r="F29" s="192" t="s">
        <v>1064</v>
      </c>
      <c r="G29" s="193">
        <v>45968</v>
      </c>
      <c r="H29" s="192" t="s">
        <v>1000</v>
      </c>
      <c r="I29" s="192" t="s">
        <v>1065</v>
      </c>
      <c r="J29" s="192" t="s">
        <v>1066</v>
      </c>
      <c r="K29" s="192" t="s">
        <v>13</v>
      </c>
      <c r="L29" s="192">
        <v>10</v>
      </c>
      <c r="M29" s="193">
        <v>46011</v>
      </c>
      <c r="N29" s="192">
        <v>10</v>
      </c>
      <c r="O29" s="192">
        <v>10</v>
      </c>
      <c r="P29" s="192">
        <v>10</v>
      </c>
      <c r="Q29" s="192">
        <v>10</v>
      </c>
      <c r="R29" s="192">
        <v>10</v>
      </c>
      <c r="S29" s="192">
        <v>10</v>
      </c>
      <c r="T29" s="192">
        <v>10</v>
      </c>
      <c r="U29" s="192">
        <f t="shared" si="0"/>
        <v>0</v>
      </c>
      <c r="V29" s="192">
        <v>10</v>
      </c>
      <c r="W29" s="192">
        <f t="shared" si="1"/>
        <v>0</v>
      </c>
      <c r="X29" s="194">
        <f t="shared" si="2"/>
        <v>0</v>
      </c>
      <c r="Y29" s="194">
        <f t="shared" si="3"/>
        <v>0</v>
      </c>
      <c r="Z29" s="194">
        <f t="shared" si="4"/>
        <v>0</v>
      </c>
      <c r="AA29" s="194">
        <f t="shared" si="5"/>
        <v>0</v>
      </c>
      <c r="AB29" s="194">
        <f t="shared" si="6"/>
        <v>0</v>
      </c>
      <c r="AC29" s="194">
        <f t="shared" si="7"/>
        <v>0</v>
      </c>
      <c r="AD29" s="194">
        <f t="shared" si="8"/>
        <v>0</v>
      </c>
      <c r="AE29" s="194">
        <f t="shared" si="9"/>
        <v>0</v>
      </c>
      <c r="AF29" s="194">
        <v>0</v>
      </c>
      <c r="AG29" s="194">
        <v>0</v>
      </c>
      <c r="AH29" s="194">
        <v>0</v>
      </c>
      <c r="AI29" s="194">
        <v>0</v>
      </c>
      <c r="AJ29" s="194">
        <v>0</v>
      </c>
      <c r="AK29" s="194">
        <f t="shared" si="10"/>
        <v>0</v>
      </c>
    </row>
    <row r="30" spans="1:37" ht="15" customHeight="1" x14ac:dyDescent="0.25">
      <c r="A30" s="192" t="s">
        <v>1063</v>
      </c>
      <c r="B30" s="192" t="s">
        <v>391</v>
      </c>
      <c r="C30" s="192" t="s">
        <v>776</v>
      </c>
      <c r="D30" s="192" t="s">
        <v>997</v>
      </c>
      <c r="E30" s="192" t="s">
        <v>998</v>
      </c>
      <c r="F30" s="192" t="s">
        <v>1064</v>
      </c>
      <c r="G30" s="193">
        <v>45968</v>
      </c>
      <c r="H30" s="192" t="s">
        <v>1000</v>
      </c>
      <c r="I30" s="192" t="s">
        <v>1067</v>
      </c>
      <c r="J30" s="192" t="s">
        <v>1068</v>
      </c>
      <c r="K30" s="192" t="s">
        <v>13</v>
      </c>
      <c r="L30" s="192">
        <v>10</v>
      </c>
      <c r="M30" s="193">
        <v>46011</v>
      </c>
      <c r="N30" s="192">
        <v>10</v>
      </c>
      <c r="O30" s="192">
        <v>10</v>
      </c>
      <c r="P30" s="192">
        <v>10</v>
      </c>
      <c r="Q30" s="192">
        <v>10</v>
      </c>
      <c r="R30" s="192">
        <v>10</v>
      </c>
      <c r="S30" s="192">
        <v>10</v>
      </c>
      <c r="T30" s="192">
        <v>10</v>
      </c>
      <c r="U30" s="192">
        <f t="shared" si="0"/>
        <v>0</v>
      </c>
      <c r="V30" s="192">
        <v>10</v>
      </c>
      <c r="W30" s="192">
        <f t="shared" si="1"/>
        <v>0</v>
      </c>
      <c r="X30" s="194">
        <f t="shared" si="2"/>
        <v>0</v>
      </c>
      <c r="Y30" s="194">
        <f t="shared" si="3"/>
        <v>0</v>
      </c>
      <c r="Z30" s="194">
        <f t="shared" si="4"/>
        <v>0</v>
      </c>
      <c r="AA30" s="194">
        <f t="shared" si="5"/>
        <v>0</v>
      </c>
      <c r="AB30" s="194">
        <f t="shared" si="6"/>
        <v>0</v>
      </c>
      <c r="AC30" s="194">
        <f t="shared" si="7"/>
        <v>0</v>
      </c>
      <c r="AD30" s="194">
        <f t="shared" si="8"/>
        <v>0</v>
      </c>
      <c r="AE30" s="194">
        <f t="shared" si="9"/>
        <v>0</v>
      </c>
      <c r="AF30" s="194">
        <v>0</v>
      </c>
      <c r="AG30" s="194">
        <v>0</v>
      </c>
      <c r="AH30" s="194">
        <v>0</v>
      </c>
      <c r="AI30" s="194">
        <v>0</v>
      </c>
      <c r="AJ30" s="194">
        <v>0</v>
      </c>
      <c r="AK30" s="194">
        <f t="shared" si="10"/>
        <v>0</v>
      </c>
    </row>
    <row r="31" spans="1:37" ht="15" customHeight="1" x14ac:dyDescent="0.25">
      <c r="A31" s="192" t="s">
        <v>1063</v>
      </c>
      <c r="B31" s="192" t="s">
        <v>391</v>
      </c>
      <c r="C31" s="192" t="s">
        <v>776</v>
      </c>
      <c r="D31" s="192" t="s">
        <v>997</v>
      </c>
      <c r="E31" s="192" t="s">
        <v>998</v>
      </c>
      <c r="F31" s="192" t="s">
        <v>1064</v>
      </c>
      <c r="G31" s="193">
        <v>45968</v>
      </c>
      <c r="H31" s="192" t="s">
        <v>1000</v>
      </c>
      <c r="I31" s="192" t="s">
        <v>1069</v>
      </c>
      <c r="J31" s="192" t="s">
        <v>1070</v>
      </c>
      <c r="K31" s="192" t="s">
        <v>13</v>
      </c>
      <c r="L31" s="192">
        <v>10</v>
      </c>
      <c r="M31" s="193">
        <v>46011</v>
      </c>
      <c r="N31" s="192">
        <v>10</v>
      </c>
      <c r="O31" s="192">
        <v>10</v>
      </c>
      <c r="P31" s="192">
        <v>10</v>
      </c>
      <c r="Q31" s="192">
        <v>10</v>
      </c>
      <c r="R31" s="192">
        <v>10</v>
      </c>
      <c r="S31" s="192">
        <v>10</v>
      </c>
      <c r="T31" s="192">
        <v>10</v>
      </c>
      <c r="U31" s="192">
        <f t="shared" si="0"/>
        <v>0</v>
      </c>
      <c r="V31" s="192">
        <v>10</v>
      </c>
      <c r="W31" s="192">
        <f t="shared" si="1"/>
        <v>0</v>
      </c>
      <c r="X31" s="194">
        <f t="shared" si="2"/>
        <v>0</v>
      </c>
      <c r="Y31" s="194">
        <f t="shared" si="3"/>
        <v>0</v>
      </c>
      <c r="Z31" s="194">
        <f t="shared" si="4"/>
        <v>0</v>
      </c>
      <c r="AA31" s="194">
        <f t="shared" si="5"/>
        <v>0</v>
      </c>
      <c r="AB31" s="194">
        <f t="shared" si="6"/>
        <v>0</v>
      </c>
      <c r="AC31" s="194">
        <f t="shared" si="7"/>
        <v>0</v>
      </c>
      <c r="AD31" s="194">
        <f t="shared" si="8"/>
        <v>0</v>
      </c>
      <c r="AE31" s="194">
        <f t="shared" si="9"/>
        <v>0</v>
      </c>
      <c r="AF31" s="194">
        <v>0</v>
      </c>
      <c r="AG31" s="194">
        <v>0</v>
      </c>
      <c r="AH31" s="194">
        <v>0</v>
      </c>
      <c r="AI31" s="194">
        <v>0</v>
      </c>
      <c r="AJ31" s="194">
        <v>0</v>
      </c>
      <c r="AK31" s="194">
        <f t="shared" si="10"/>
        <v>0</v>
      </c>
    </row>
    <row r="32" spans="1:37" ht="15" customHeight="1" x14ac:dyDescent="0.25">
      <c r="A32" s="192" t="s">
        <v>1063</v>
      </c>
      <c r="B32" s="192" t="s">
        <v>391</v>
      </c>
      <c r="C32" s="192" t="s">
        <v>776</v>
      </c>
      <c r="D32" s="192" t="s">
        <v>997</v>
      </c>
      <c r="E32" s="192" t="s">
        <v>998</v>
      </c>
      <c r="F32" s="192" t="s">
        <v>1064</v>
      </c>
      <c r="G32" s="193">
        <v>45968</v>
      </c>
      <c r="H32" s="192" t="s">
        <v>1000</v>
      </c>
      <c r="I32" s="192" t="s">
        <v>1051</v>
      </c>
      <c r="J32" s="192" t="s">
        <v>1071</v>
      </c>
      <c r="K32" s="192" t="s">
        <v>13</v>
      </c>
      <c r="L32" s="192">
        <v>10</v>
      </c>
      <c r="M32" s="193">
        <v>46011</v>
      </c>
      <c r="N32" s="192">
        <v>10</v>
      </c>
      <c r="O32" s="192">
        <v>10</v>
      </c>
      <c r="P32" s="192">
        <v>10</v>
      </c>
      <c r="Q32" s="192">
        <v>10</v>
      </c>
      <c r="R32" s="192">
        <v>10</v>
      </c>
      <c r="S32" s="192">
        <v>10</v>
      </c>
      <c r="T32" s="192">
        <v>10</v>
      </c>
      <c r="U32" s="192">
        <f t="shared" si="0"/>
        <v>0</v>
      </c>
      <c r="V32" s="192">
        <v>10</v>
      </c>
      <c r="W32" s="192">
        <f t="shared" si="1"/>
        <v>0</v>
      </c>
      <c r="X32" s="194">
        <f t="shared" si="2"/>
        <v>0</v>
      </c>
      <c r="Y32" s="194">
        <f t="shared" si="3"/>
        <v>0</v>
      </c>
      <c r="Z32" s="194">
        <f t="shared" si="4"/>
        <v>0</v>
      </c>
      <c r="AA32" s="194">
        <f t="shared" si="5"/>
        <v>0</v>
      </c>
      <c r="AB32" s="194">
        <f t="shared" si="6"/>
        <v>0</v>
      </c>
      <c r="AC32" s="194">
        <f t="shared" si="7"/>
        <v>0</v>
      </c>
      <c r="AD32" s="194">
        <f t="shared" si="8"/>
        <v>0</v>
      </c>
      <c r="AE32" s="194">
        <f t="shared" si="9"/>
        <v>0</v>
      </c>
      <c r="AF32" s="194">
        <v>0</v>
      </c>
      <c r="AG32" s="194">
        <v>0</v>
      </c>
      <c r="AH32" s="194">
        <v>0</v>
      </c>
      <c r="AI32" s="194">
        <v>0</v>
      </c>
      <c r="AJ32" s="194">
        <v>0</v>
      </c>
      <c r="AK32" s="194">
        <f t="shared" si="10"/>
        <v>0</v>
      </c>
    </row>
    <row r="33" spans="1:37" ht="15" customHeight="1" x14ac:dyDescent="0.25">
      <c r="A33" s="192" t="s">
        <v>1063</v>
      </c>
      <c r="B33" s="192" t="s">
        <v>391</v>
      </c>
      <c r="C33" s="192" t="s">
        <v>776</v>
      </c>
      <c r="D33" s="192" t="s">
        <v>997</v>
      </c>
      <c r="E33" s="192" t="s">
        <v>998</v>
      </c>
      <c r="F33" s="192" t="s">
        <v>1064</v>
      </c>
      <c r="G33" s="193">
        <v>45968</v>
      </c>
      <c r="H33" s="192" t="s">
        <v>1000</v>
      </c>
      <c r="I33" s="192" t="s">
        <v>1072</v>
      </c>
      <c r="J33" s="192" t="s">
        <v>1073</v>
      </c>
      <c r="K33" s="192" t="s">
        <v>13</v>
      </c>
      <c r="L33" s="192">
        <v>10</v>
      </c>
      <c r="M33" s="193">
        <v>46011</v>
      </c>
      <c r="N33" s="192">
        <v>10</v>
      </c>
      <c r="O33" s="192">
        <v>10</v>
      </c>
      <c r="P33" s="192">
        <v>10</v>
      </c>
      <c r="Q33" s="192">
        <v>10</v>
      </c>
      <c r="R33" s="192">
        <v>10</v>
      </c>
      <c r="S33" s="192">
        <v>10</v>
      </c>
      <c r="T33" s="192">
        <v>10</v>
      </c>
      <c r="U33" s="192">
        <f t="shared" si="0"/>
        <v>0</v>
      </c>
      <c r="V33" s="192">
        <v>10</v>
      </c>
      <c r="W33" s="192">
        <f t="shared" si="1"/>
        <v>0</v>
      </c>
      <c r="X33" s="194">
        <f t="shared" si="2"/>
        <v>0</v>
      </c>
      <c r="Y33" s="194">
        <f t="shared" si="3"/>
        <v>0</v>
      </c>
      <c r="Z33" s="194">
        <f t="shared" si="4"/>
        <v>0</v>
      </c>
      <c r="AA33" s="194">
        <f t="shared" si="5"/>
        <v>0</v>
      </c>
      <c r="AB33" s="194">
        <f t="shared" si="6"/>
        <v>0</v>
      </c>
      <c r="AC33" s="194">
        <f t="shared" si="7"/>
        <v>0</v>
      </c>
      <c r="AD33" s="194">
        <f t="shared" si="8"/>
        <v>0</v>
      </c>
      <c r="AE33" s="194">
        <f t="shared" si="9"/>
        <v>0</v>
      </c>
      <c r="AF33" s="194">
        <v>0</v>
      </c>
      <c r="AG33" s="194">
        <v>0</v>
      </c>
      <c r="AH33" s="194">
        <v>0</v>
      </c>
      <c r="AI33" s="194">
        <v>0</v>
      </c>
      <c r="AJ33" s="194">
        <v>0</v>
      </c>
      <c r="AK33" s="194">
        <f t="shared" si="10"/>
        <v>0</v>
      </c>
    </row>
    <row r="34" spans="1:37" ht="15" customHeight="1" x14ac:dyDescent="0.25">
      <c r="A34" s="192" t="s">
        <v>1074</v>
      </c>
      <c r="B34" s="192" t="s">
        <v>389</v>
      </c>
      <c r="C34" s="192" t="s">
        <v>871</v>
      </c>
      <c r="D34" s="192" t="s">
        <v>997</v>
      </c>
      <c r="E34" s="192" t="s">
        <v>998</v>
      </c>
      <c r="F34" s="192" t="s">
        <v>1075</v>
      </c>
      <c r="G34" s="193">
        <v>45993</v>
      </c>
      <c r="H34" s="192" t="s">
        <v>1000</v>
      </c>
      <c r="I34" s="192" t="s">
        <v>1013</v>
      </c>
      <c r="J34" s="192" t="s">
        <v>1014</v>
      </c>
      <c r="K34" s="192" t="s">
        <v>13</v>
      </c>
      <c r="L34" s="192">
        <v>20</v>
      </c>
      <c r="M34" s="193">
        <v>46048</v>
      </c>
      <c r="N34" s="192">
        <v>20</v>
      </c>
      <c r="O34" s="192">
        <v>20</v>
      </c>
      <c r="P34" s="192">
        <v>20</v>
      </c>
      <c r="Q34" s="192">
        <v>20</v>
      </c>
      <c r="R34" s="192">
        <v>20</v>
      </c>
      <c r="S34" s="192">
        <v>20</v>
      </c>
      <c r="T34" s="192">
        <v>20</v>
      </c>
      <c r="U34" s="192">
        <f t="shared" ref="U34:U65" si="11">L34-T34</f>
        <v>0</v>
      </c>
      <c r="V34" s="192">
        <v>20</v>
      </c>
      <c r="W34" s="192">
        <f t="shared" ref="W34:W65" si="12">T34-V34</f>
        <v>0</v>
      </c>
      <c r="X34" s="194">
        <f t="shared" ref="X34:X65" si="13">IF(N34-O34&gt;0,1,0)</f>
        <v>0</v>
      </c>
      <c r="Y34" s="194">
        <f t="shared" ref="Y34:Y65" si="14">IF(O34-P34&gt;0,1,0)</f>
        <v>0</v>
      </c>
      <c r="Z34" s="194">
        <f t="shared" ref="Z34:Z65" si="15">IF(P34-Q34&gt;0,1,0)</f>
        <v>0</v>
      </c>
      <c r="AA34" s="194">
        <f t="shared" ref="AA34:AA65" si="16">IF(Q34-R34&gt;0,1,0)</f>
        <v>0</v>
      </c>
      <c r="AB34" s="194">
        <f t="shared" ref="AB34:AB65" si="17">IF(R34-S34&gt;0,1,0)</f>
        <v>0</v>
      </c>
      <c r="AC34" s="194">
        <f t="shared" ref="AC34:AC65" si="18">IF(S34-T34&gt;0,1,0)</f>
        <v>0</v>
      </c>
      <c r="AD34" s="194">
        <f t="shared" ref="AD34:AD65" si="19">IF(L34-V34&gt;0,1,0)</f>
        <v>0</v>
      </c>
      <c r="AE34" s="194">
        <f t="shared" ref="AE34:AE65" si="20">IF(L34-T34&gt;0,1,0)</f>
        <v>0</v>
      </c>
      <c r="AF34" s="194">
        <v>0</v>
      </c>
      <c r="AG34" s="194">
        <v>0</v>
      </c>
      <c r="AH34" s="194">
        <v>0</v>
      </c>
      <c r="AI34" s="194">
        <v>0</v>
      </c>
      <c r="AJ34" s="194">
        <v>0</v>
      </c>
      <c r="AK34" s="194">
        <f t="shared" ref="AK34:AK65" si="21">IF(T34-V34&gt;0,1,0)</f>
        <v>0</v>
      </c>
    </row>
    <row r="35" spans="1:37" ht="15" customHeight="1" x14ac:dyDescent="0.25">
      <c r="A35" s="192" t="s">
        <v>1074</v>
      </c>
      <c r="B35" s="192" t="s">
        <v>389</v>
      </c>
      <c r="C35" s="192" t="s">
        <v>871</v>
      </c>
      <c r="D35" s="192" t="s">
        <v>997</v>
      </c>
      <c r="E35" s="192" t="s">
        <v>998</v>
      </c>
      <c r="F35" s="192" t="s">
        <v>1075</v>
      </c>
      <c r="G35" s="193">
        <v>45993</v>
      </c>
      <c r="H35" s="192" t="s">
        <v>1000</v>
      </c>
      <c r="I35" s="192" t="s">
        <v>1005</v>
      </c>
      <c r="J35" s="192" t="s">
        <v>1006</v>
      </c>
      <c r="K35" s="192" t="s">
        <v>13</v>
      </c>
      <c r="L35" s="192">
        <v>20</v>
      </c>
      <c r="M35" s="193">
        <v>46048</v>
      </c>
      <c r="N35" s="192">
        <v>20</v>
      </c>
      <c r="O35" s="192">
        <v>20</v>
      </c>
      <c r="P35" s="192">
        <v>20</v>
      </c>
      <c r="Q35" s="192">
        <v>20</v>
      </c>
      <c r="R35" s="192">
        <v>20</v>
      </c>
      <c r="S35" s="192">
        <v>20</v>
      </c>
      <c r="T35" s="192">
        <v>20</v>
      </c>
      <c r="U35" s="192">
        <f t="shared" si="11"/>
        <v>0</v>
      </c>
      <c r="V35" s="192">
        <v>20</v>
      </c>
      <c r="W35" s="192">
        <f t="shared" si="12"/>
        <v>0</v>
      </c>
      <c r="X35" s="194">
        <f t="shared" si="13"/>
        <v>0</v>
      </c>
      <c r="Y35" s="194">
        <f t="shared" si="14"/>
        <v>0</v>
      </c>
      <c r="Z35" s="194">
        <f t="shared" si="15"/>
        <v>0</v>
      </c>
      <c r="AA35" s="194">
        <f t="shared" si="16"/>
        <v>0</v>
      </c>
      <c r="AB35" s="194">
        <f t="shared" si="17"/>
        <v>0</v>
      </c>
      <c r="AC35" s="194">
        <f t="shared" si="18"/>
        <v>0</v>
      </c>
      <c r="AD35" s="194">
        <f t="shared" si="19"/>
        <v>0</v>
      </c>
      <c r="AE35" s="194">
        <f t="shared" si="20"/>
        <v>0</v>
      </c>
      <c r="AF35" s="194">
        <v>0</v>
      </c>
      <c r="AG35" s="194">
        <v>0</v>
      </c>
      <c r="AH35" s="194">
        <v>0</v>
      </c>
      <c r="AI35" s="194">
        <v>0</v>
      </c>
      <c r="AJ35" s="194">
        <v>0</v>
      </c>
      <c r="AK35" s="194">
        <f t="shared" si="21"/>
        <v>0</v>
      </c>
    </row>
    <row r="36" spans="1:37" ht="15" customHeight="1" x14ac:dyDescent="0.25">
      <c r="A36" s="192" t="s">
        <v>1074</v>
      </c>
      <c r="B36" s="192" t="s">
        <v>389</v>
      </c>
      <c r="C36" s="192" t="s">
        <v>871</v>
      </c>
      <c r="D36" s="192" t="s">
        <v>997</v>
      </c>
      <c r="E36" s="192" t="s">
        <v>998</v>
      </c>
      <c r="F36" s="192" t="s">
        <v>1075</v>
      </c>
      <c r="G36" s="193">
        <v>45993</v>
      </c>
      <c r="H36" s="192" t="s">
        <v>1000</v>
      </c>
      <c r="I36" s="192" t="s">
        <v>1009</v>
      </c>
      <c r="J36" s="192" t="s">
        <v>1010</v>
      </c>
      <c r="K36" s="192" t="s">
        <v>13</v>
      </c>
      <c r="L36" s="192">
        <v>20</v>
      </c>
      <c r="M36" s="193">
        <v>46048</v>
      </c>
      <c r="N36" s="192">
        <v>20</v>
      </c>
      <c r="O36" s="192">
        <v>20</v>
      </c>
      <c r="P36" s="192">
        <v>20</v>
      </c>
      <c r="Q36" s="192">
        <v>20</v>
      </c>
      <c r="R36" s="192">
        <v>20</v>
      </c>
      <c r="S36" s="192">
        <v>20</v>
      </c>
      <c r="T36" s="192">
        <v>20</v>
      </c>
      <c r="U36" s="192">
        <f t="shared" si="11"/>
        <v>0</v>
      </c>
      <c r="V36" s="192">
        <v>20</v>
      </c>
      <c r="W36" s="192">
        <f t="shared" si="12"/>
        <v>0</v>
      </c>
      <c r="X36" s="194">
        <f t="shared" si="13"/>
        <v>0</v>
      </c>
      <c r="Y36" s="194">
        <f t="shared" si="14"/>
        <v>0</v>
      </c>
      <c r="Z36" s="194">
        <f t="shared" si="15"/>
        <v>0</v>
      </c>
      <c r="AA36" s="194">
        <f t="shared" si="16"/>
        <v>0</v>
      </c>
      <c r="AB36" s="194">
        <f t="shared" si="17"/>
        <v>0</v>
      </c>
      <c r="AC36" s="194">
        <f t="shared" si="18"/>
        <v>0</v>
      </c>
      <c r="AD36" s="194">
        <f t="shared" si="19"/>
        <v>0</v>
      </c>
      <c r="AE36" s="194">
        <f t="shared" si="20"/>
        <v>0</v>
      </c>
      <c r="AF36" s="194">
        <v>0</v>
      </c>
      <c r="AG36" s="194">
        <v>0</v>
      </c>
      <c r="AH36" s="194">
        <v>0</v>
      </c>
      <c r="AI36" s="194">
        <v>0</v>
      </c>
      <c r="AJ36" s="194">
        <v>0</v>
      </c>
      <c r="AK36" s="194">
        <f t="shared" si="21"/>
        <v>0</v>
      </c>
    </row>
    <row r="37" spans="1:37" ht="15" customHeight="1" x14ac:dyDescent="0.25">
      <c r="A37" s="192" t="s">
        <v>1074</v>
      </c>
      <c r="B37" s="192" t="s">
        <v>389</v>
      </c>
      <c r="C37" s="192" t="s">
        <v>871</v>
      </c>
      <c r="D37" s="192" t="s">
        <v>997</v>
      </c>
      <c r="E37" s="192" t="s">
        <v>998</v>
      </c>
      <c r="F37" s="192" t="s">
        <v>1075</v>
      </c>
      <c r="G37" s="193">
        <v>45993</v>
      </c>
      <c r="H37" s="192" t="s">
        <v>1000</v>
      </c>
      <c r="I37" s="192" t="s">
        <v>1076</v>
      </c>
      <c r="J37" s="192" t="s">
        <v>1077</v>
      </c>
      <c r="K37" s="192" t="s">
        <v>13</v>
      </c>
      <c r="L37" s="192">
        <v>5</v>
      </c>
      <c r="M37" s="193">
        <v>46048</v>
      </c>
      <c r="N37" s="192">
        <v>5</v>
      </c>
      <c r="O37" s="192">
        <v>5</v>
      </c>
      <c r="P37" s="192">
        <v>5</v>
      </c>
      <c r="Q37" s="192">
        <v>5</v>
      </c>
      <c r="R37" s="192">
        <v>5</v>
      </c>
      <c r="S37" s="192">
        <v>5</v>
      </c>
      <c r="T37" s="192">
        <v>5</v>
      </c>
      <c r="U37" s="192">
        <f t="shared" si="11"/>
        <v>0</v>
      </c>
      <c r="V37" s="192">
        <v>5</v>
      </c>
      <c r="W37" s="192">
        <f t="shared" si="12"/>
        <v>0</v>
      </c>
      <c r="X37" s="194">
        <f t="shared" si="13"/>
        <v>0</v>
      </c>
      <c r="Y37" s="194">
        <f t="shared" si="14"/>
        <v>0</v>
      </c>
      <c r="Z37" s="194">
        <f t="shared" si="15"/>
        <v>0</v>
      </c>
      <c r="AA37" s="194">
        <f t="shared" si="16"/>
        <v>0</v>
      </c>
      <c r="AB37" s="194">
        <f t="shared" si="17"/>
        <v>0</v>
      </c>
      <c r="AC37" s="194">
        <f t="shared" si="18"/>
        <v>0</v>
      </c>
      <c r="AD37" s="194">
        <f t="shared" si="19"/>
        <v>0</v>
      </c>
      <c r="AE37" s="194">
        <f t="shared" si="20"/>
        <v>0</v>
      </c>
      <c r="AF37" s="194">
        <v>0</v>
      </c>
      <c r="AG37" s="194">
        <v>0</v>
      </c>
      <c r="AH37" s="194">
        <v>0</v>
      </c>
      <c r="AI37" s="194">
        <v>0</v>
      </c>
      <c r="AJ37" s="194">
        <v>0</v>
      </c>
      <c r="AK37" s="194">
        <f t="shared" si="21"/>
        <v>0</v>
      </c>
    </row>
    <row r="38" spans="1:37" ht="15" customHeight="1" x14ac:dyDescent="0.25">
      <c r="A38" s="192" t="s">
        <v>1074</v>
      </c>
      <c r="B38" s="192" t="s">
        <v>389</v>
      </c>
      <c r="C38" s="192" t="s">
        <v>871</v>
      </c>
      <c r="D38" s="192" t="s">
        <v>997</v>
      </c>
      <c r="E38" s="192" t="s">
        <v>998</v>
      </c>
      <c r="F38" s="192" t="s">
        <v>1075</v>
      </c>
      <c r="G38" s="193">
        <v>45993</v>
      </c>
      <c r="H38" s="192" t="s">
        <v>1000</v>
      </c>
      <c r="I38" s="192" t="s">
        <v>1078</v>
      </c>
      <c r="J38" s="192" t="s">
        <v>1079</v>
      </c>
      <c r="K38" s="192" t="s">
        <v>13</v>
      </c>
      <c r="L38" s="192">
        <v>5</v>
      </c>
      <c r="M38" s="193">
        <v>46048</v>
      </c>
      <c r="N38" s="192">
        <v>5</v>
      </c>
      <c r="O38" s="192">
        <v>5</v>
      </c>
      <c r="P38" s="192">
        <v>5</v>
      </c>
      <c r="Q38" s="192">
        <v>5</v>
      </c>
      <c r="R38" s="192">
        <v>5</v>
      </c>
      <c r="S38" s="192">
        <v>5</v>
      </c>
      <c r="T38" s="192">
        <v>5</v>
      </c>
      <c r="U38" s="192">
        <f t="shared" si="11"/>
        <v>0</v>
      </c>
      <c r="V38" s="192">
        <v>5</v>
      </c>
      <c r="W38" s="192">
        <f t="shared" si="12"/>
        <v>0</v>
      </c>
      <c r="X38" s="194">
        <f t="shared" si="13"/>
        <v>0</v>
      </c>
      <c r="Y38" s="194">
        <f t="shared" si="14"/>
        <v>0</v>
      </c>
      <c r="Z38" s="194">
        <f t="shared" si="15"/>
        <v>0</v>
      </c>
      <c r="AA38" s="194">
        <f t="shared" si="16"/>
        <v>0</v>
      </c>
      <c r="AB38" s="194">
        <f t="shared" si="17"/>
        <v>0</v>
      </c>
      <c r="AC38" s="194">
        <f t="shared" si="18"/>
        <v>0</v>
      </c>
      <c r="AD38" s="194">
        <f t="shared" si="19"/>
        <v>0</v>
      </c>
      <c r="AE38" s="194">
        <f t="shared" si="20"/>
        <v>0</v>
      </c>
      <c r="AF38" s="194">
        <v>0</v>
      </c>
      <c r="AG38" s="194">
        <v>0</v>
      </c>
      <c r="AH38" s="194">
        <v>0</v>
      </c>
      <c r="AI38" s="194">
        <v>0</v>
      </c>
      <c r="AJ38" s="194">
        <v>0</v>
      </c>
      <c r="AK38" s="194">
        <f t="shared" si="21"/>
        <v>0</v>
      </c>
    </row>
    <row r="39" spans="1:37" ht="15" customHeight="1" x14ac:dyDescent="0.25">
      <c r="A39" s="192" t="s">
        <v>1074</v>
      </c>
      <c r="B39" s="192" t="s">
        <v>389</v>
      </c>
      <c r="C39" s="192" t="s">
        <v>871</v>
      </c>
      <c r="D39" s="192" t="s">
        <v>997</v>
      </c>
      <c r="E39" s="192" t="s">
        <v>998</v>
      </c>
      <c r="F39" s="192" t="s">
        <v>1075</v>
      </c>
      <c r="G39" s="193">
        <v>45993</v>
      </c>
      <c r="H39" s="192" t="s">
        <v>1000</v>
      </c>
      <c r="I39" s="192" t="s">
        <v>1080</v>
      </c>
      <c r="J39" s="192" t="s">
        <v>1081</v>
      </c>
      <c r="K39" s="192" t="s">
        <v>13</v>
      </c>
      <c r="L39" s="192">
        <v>5</v>
      </c>
      <c r="M39" s="193">
        <v>46048</v>
      </c>
      <c r="N39" s="192">
        <v>5</v>
      </c>
      <c r="O39" s="192">
        <v>5</v>
      </c>
      <c r="P39" s="192">
        <v>5</v>
      </c>
      <c r="Q39" s="192">
        <v>5</v>
      </c>
      <c r="R39" s="192">
        <v>5</v>
      </c>
      <c r="S39" s="192">
        <v>5</v>
      </c>
      <c r="T39" s="192">
        <v>5</v>
      </c>
      <c r="U39" s="192">
        <f t="shared" si="11"/>
        <v>0</v>
      </c>
      <c r="V39" s="192">
        <v>5</v>
      </c>
      <c r="W39" s="192">
        <f t="shared" si="12"/>
        <v>0</v>
      </c>
      <c r="X39" s="194">
        <f t="shared" si="13"/>
        <v>0</v>
      </c>
      <c r="Y39" s="194">
        <f t="shared" si="14"/>
        <v>0</v>
      </c>
      <c r="Z39" s="194">
        <f t="shared" si="15"/>
        <v>0</v>
      </c>
      <c r="AA39" s="194">
        <f t="shared" si="16"/>
        <v>0</v>
      </c>
      <c r="AB39" s="194">
        <f t="shared" si="17"/>
        <v>0</v>
      </c>
      <c r="AC39" s="194">
        <f t="shared" si="18"/>
        <v>0</v>
      </c>
      <c r="AD39" s="194">
        <f t="shared" si="19"/>
        <v>0</v>
      </c>
      <c r="AE39" s="194">
        <f t="shared" si="20"/>
        <v>0</v>
      </c>
      <c r="AF39" s="194">
        <v>0</v>
      </c>
      <c r="AG39" s="194">
        <v>0</v>
      </c>
      <c r="AH39" s="194">
        <v>0</v>
      </c>
      <c r="AI39" s="194">
        <v>0</v>
      </c>
      <c r="AJ39" s="194">
        <v>0</v>
      </c>
      <c r="AK39" s="194">
        <f t="shared" si="21"/>
        <v>0</v>
      </c>
    </row>
    <row r="40" spans="1:37" ht="15" customHeight="1" x14ac:dyDescent="0.25">
      <c r="A40" s="192" t="s">
        <v>1074</v>
      </c>
      <c r="B40" s="192" t="s">
        <v>389</v>
      </c>
      <c r="C40" s="192" t="s">
        <v>871</v>
      </c>
      <c r="D40" s="192" t="s">
        <v>997</v>
      </c>
      <c r="E40" s="192" t="s">
        <v>998</v>
      </c>
      <c r="F40" s="192" t="s">
        <v>1075</v>
      </c>
      <c r="G40" s="193">
        <v>45993</v>
      </c>
      <c r="H40" s="192" t="s">
        <v>1000</v>
      </c>
      <c r="I40" s="192" t="s">
        <v>1082</v>
      </c>
      <c r="J40" s="192" t="s">
        <v>1083</v>
      </c>
      <c r="K40" s="192" t="s">
        <v>13</v>
      </c>
      <c r="L40" s="192">
        <v>5</v>
      </c>
      <c r="M40" s="193">
        <v>46048</v>
      </c>
      <c r="N40" s="192">
        <v>5</v>
      </c>
      <c r="O40" s="192">
        <v>5</v>
      </c>
      <c r="P40" s="192">
        <v>5</v>
      </c>
      <c r="Q40" s="192">
        <v>5</v>
      </c>
      <c r="R40" s="192">
        <v>5</v>
      </c>
      <c r="S40" s="192">
        <v>5</v>
      </c>
      <c r="T40" s="192">
        <v>5</v>
      </c>
      <c r="U40" s="192">
        <f t="shared" si="11"/>
        <v>0</v>
      </c>
      <c r="V40" s="192">
        <v>5</v>
      </c>
      <c r="W40" s="192">
        <f t="shared" si="12"/>
        <v>0</v>
      </c>
      <c r="X40" s="194">
        <f t="shared" si="13"/>
        <v>0</v>
      </c>
      <c r="Y40" s="194">
        <f t="shared" si="14"/>
        <v>0</v>
      </c>
      <c r="Z40" s="194">
        <f t="shared" si="15"/>
        <v>0</v>
      </c>
      <c r="AA40" s="194">
        <f t="shared" si="16"/>
        <v>0</v>
      </c>
      <c r="AB40" s="194">
        <f t="shared" si="17"/>
        <v>0</v>
      </c>
      <c r="AC40" s="194">
        <f t="shared" si="18"/>
        <v>0</v>
      </c>
      <c r="AD40" s="194">
        <f t="shared" si="19"/>
        <v>0</v>
      </c>
      <c r="AE40" s="194">
        <f t="shared" si="20"/>
        <v>0</v>
      </c>
      <c r="AF40" s="194">
        <v>0</v>
      </c>
      <c r="AG40" s="194">
        <v>0</v>
      </c>
      <c r="AH40" s="194">
        <v>0</v>
      </c>
      <c r="AI40" s="194">
        <v>0</v>
      </c>
      <c r="AJ40" s="194">
        <v>0</v>
      </c>
      <c r="AK40" s="194">
        <f t="shared" si="21"/>
        <v>0</v>
      </c>
    </row>
    <row r="41" spans="1:37" ht="15" customHeight="1" x14ac:dyDescent="0.25">
      <c r="A41" s="192" t="s">
        <v>1074</v>
      </c>
      <c r="B41" s="192" t="s">
        <v>389</v>
      </c>
      <c r="C41" s="192" t="s">
        <v>871</v>
      </c>
      <c r="D41" s="192" t="s">
        <v>997</v>
      </c>
      <c r="E41" s="192" t="s">
        <v>998</v>
      </c>
      <c r="F41" s="192" t="s">
        <v>1075</v>
      </c>
      <c r="G41" s="193">
        <v>45993</v>
      </c>
      <c r="H41" s="192" t="s">
        <v>1000</v>
      </c>
      <c r="I41" s="192" t="s">
        <v>1011</v>
      </c>
      <c r="J41" s="192" t="s">
        <v>1012</v>
      </c>
      <c r="K41" s="192" t="s">
        <v>13</v>
      </c>
      <c r="L41" s="192">
        <v>20</v>
      </c>
      <c r="M41" s="193">
        <v>46048</v>
      </c>
      <c r="N41" s="192">
        <v>20</v>
      </c>
      <c r="O41" s="192">
        <v>20</v>
      </c>
      <c r="P41" s="192">
        <v>20</v>
      </c>
      <c r="Q41" s="192">
        <v>20</v>
      </c>
      <c r="R41" s="192">
        <v>20</v>
      </c>
      <c r="S41" s="192">
        <v>20</v>
      </c>
      <c r="T41" s="192">
        <v>20</v>
      </c>
      <c r="U41" s="192">
        <f t="shared" si="11"/>
        <v>0</v>
      </c>
      <c r="V41" s="192">
        <v>20</v>
      </c>
      <c r="W41" s="192">
        <f t="shared" si="12"/>
        <v>0</v>
      </c>
      <c r="X41" s="194">
        <f t="shared" si="13"/>
        <v>0</v>
      </c>
      <c r="Y41" s="194">
        <f t="shared" si="14"/>
        <v>0</v>
      </c>
      <c r="Z41" s="194">
        <f t="shared" si="15"/>
        <v>0</v>
      </c>
      <c r="AA41" s="194">
        <f t="shared" si="16"/>
        <v>0</v>
      </c>
      <c r="AB41" s="194">
        <f t="shared" si="17"/>
        <v>0</v>
      </c>
      <c r="AC41" s="194">
        <f t="shared" si="18"/>
        <v>0</v>
      </c>
      <c r="AD41" s="194">
        <f t="shared" si="19"/>
        <v>0</v>
      </c>
      <c r="AE41" s="194">
        <f t="shared" si="20"/>
        <v>0</v>
      </c>
      <c r="AF41" s="194">
        <v>0</v>
      </c>
      <c r="AG41" s="194">
        <v>0</v>
      </c>
      <c r="AH41" s="194">
        <v>0</v>
      </c>
      <c r="AI41" s="194">
        <v>0</v>
      </c>
      <c r="AJ41" s="194">
        <v>0</v>
      </c>
      <c r="AK41" s="194">
        <f t="shared" si="21"/>
        <v>0</v>
      </c>
    </row>
    <row r="42" spans="1:37" ht="15" customHeight="1" x14ac:dyDescent="0.25">
      <c r="A42" s="192" t="s">
        <v>1074</v>
      </c>
      <c r="B42" s="192" t="s">
        <v>389</v>
      </c>
      <c r="C42" s="192" t="s">
        <v>871</v>
      </c>
      <c r="D42" s="192" t="s">
        <v>997</v>
      </c>
      <c r="E42" s="192" t="s">
        <v>998</v>
      </c>
      <c r="F42" s="192" t="s">
        <v>1075</v>
      </c>
      <c r="G42" s="193">
        <v>45993</v>
      </c>
      <c r="H42" s="192" t="s">
        <v>1000</v>
      </c>
      <c r="I42" s="192" t="s">
        <v>1084</v>
      </c>
      <c r="J42" s="192" t="s">
        <v>1085</v>
      </c>
      <c r="K42" s="192" t="s">
        <v>13</v>
      </c>
      <c r="L42" s="192">
        <v>5</v>
      </c>
      <c r="M42" s="193">
        <v>46048</v>
      </c>
      <c r="N42" s="192">
        <v>5</v>
      </c>
      <c r="O42" s="192">
        <v>5</v>
      </c>
      <c r="P42" s="192">
        <v>5</v>
      </c>
      <c r="Q42" s="192">
        <v>5</v>
      </c>
      <c r="R42" s="192">
        <v>5</v>
      </c>
      <c r="S42" s="192">
        <v>5</v>
      </c>
      <c r="T42" s="192">
        <v>5</v>
      </c>
      <c r="U42" s="192">
        <f t="shared" si="11"/>
        <v>0</v>
      </c>
      <c r="V42" s="192">
        <v>5</v>
      </c>
      <c r="W42" s="192">
        <f t="shared" si="12"/>
        <v>0</v>
      </c>
      <c r="X42" s="194">
        <f t="shared" si="13"/>
        <v>0</v>
      </c>
      <c r="Y42" s="194">
        <f t="shared" si="14"/>
        <v>0</v>
      </c>
      <c r="Z42" s="194">
        <f t="shared" si="15"/>
        <v>0</v>
      </c>
      <c r="AA42" s="194">
        <f t="shared" si="16"/>
        <v>0</v>
      </c>
      <c r="AB42" s="194">
        <f t="shared" si="17"/>
        <v>0</v>
      </c>
      <c r="AC42" s="194">
        <f t="shared" si="18"/>
        <v>0</v>
      </c>
      <c r="AD42" s="194">
        <f t="shared" si="19"/>
        <v>0</v>
      </c>
      <c r="AE42" s="194">
        <f t="shared" si="20"/>
        <v>0</v>
      </c>
      <c r="AF42" s="194">
        <v>0</v>
      </c>
      <c r="AG42" s="194">
        <v>0</v>
      </c>
      <c r="AH42" s="194">
        <v>0</v>
      </c>
      <c r="AI42" s="194">
        <v>0</v>
      </c>
      <c r="AJ42" s="194">
        <v>0</v>
      </c>
      <c r="AK42" s="194">
        <f t="shared" si="21"/>
        <v>0</v>
      </c>
    </row>
    <row r="43" spans="1:37" ht="15" customHeight="1" x14ac:dyDescent="0.25">
      <c r="A43" s="192" t="s">
        <v>1074</v>
      </c>
      <c r="B43" s="192" t="s">
        <v>389</v>
      </c>
      <c r="C43" s="192" t="s">
        <v>871</v>
      </c>
      <c r="D43" s="192" t="s">
        <v>997</v>
      </c>
      <c r="E43" s="192" t="s">
        <v>998</v>
      </c>
      <c r="F43" s="192" t="s">
        <v>1086</v>
      </c>
      <c r="G43" s="193">
        <v>46003</v>
      </c>
      <c r="H43" s="192" t="s">
        <v>1000</v>
      </c>
      <c r="I43" s="192" t="s">
        <v>1078</v>
      </c>
      <c r="J43" s="192" t="s">
        <v>1079</v>
      </c>
      <c r="K43" s="192" t="s">
        <v>13</v>
      </c>
      <c r="L43" s="192">
        <v>5</v>
      </c>
      <c r="M43" s="193">
        <v>46058</v>
      </c>
      <c r="N43" s="192">
        <v>5</v>
      </c>
      <c r="O43" s="192">
        <v>5</v>
      </c>
      <c r="P43" s="192">
        <v>5</v>
      </c>
      <c r="Q43" s="192">
        <v>5</v>
      </c>
      <c r="R43" s="192">
        <v>5</v>
      </c>
      <c r="S43" s="192">
        <v>5</v>
      </c>
      <c r="T43" s="192">
        <v>5</v>
      </c>
      <c r="U43" s="192">
        <f t="shared" si="11"/>
        <v>0</v>
      </c>
      <c r="V43" s="192">
        <v>5</v>
      </c>
      <c r="W43" s="192">
        <f t="shared" si="12"/>
        <v>0</v>
      </c>
      <c r="X43" s="194">
        <f t="shared" si="13"/>
        <v>0</v>
      </c>
      <c r="Y43" s="194">
        <f t="shared" si="14"/>
        <v>0</v>
      </c>
      <c r="Z43" s="194">
        <f t="shared" si="15"/>
        <v>0</v>
      </c>
      <c r="AA43" s="194">
        <f t="shared" si="16"/>
        <v>0</v>
      </c>
      <c r="AB43" s="194">
        <f t="shared" si="17"/>
        <v>0</v>
      </c>
      <c r="AC43" s="194">
        <f t="shared" si="18"/>
        <v>0</v>
      </c>
      <c r="AD43" s="194">
        <f t="shared" si="19"/>
        <v>0</v>
      </c>
      <c r="AE43" s="194">
        <f t="shared" si="20"/>
        <v>0</v>
      </c>
      <c r="AF43" s="194">
        <v>0</v>
      </c>
      <c r="AG43" s="194">
        <v>0</v>
      </c>
      <c r="AH43" s="194">
        <v>0</v>
      </c>
      <c r="AI43" s="194">
        <v>0</v>
      </c>
      <c r="AJ43" s="194">
        <v>0</v>
      </c>
      <c r="AK43" s="194">
        <f t="shared" si="21"/>
        <v>0</v>
      </c>
    </row>
    <row r="44" spans="1:37" ht="15" customHeight="1" x14ac:dyDescent="0.25">
      <c r="A44" s="192" t="s">
        <v>1087</v>
      </c>
      <c r="B44" s="192" t="s">
        <v>478</v>
      </c>
      <c r="C44" s="192" t="s">
        <v>1088</v>
      </c>
      <c r="D44" s="192" t="s">
        <v>997</v>
      </c>
      <c r="E44" s="192" t="s">
        <v>998</v>
      </c>
      <c r="F44" s="192" t="s">
        <v>1089</v>
      </c>
      <c r="G44" s="193">
        <v>46057</v>
      </c>
      <c r="H44" s="192" t="s">
        <v>1000</v>
      </c>
      <c r="I44" s="192" t="s">
        <v>1090</v>
      </c>
      <c r="J44" s="192" t="s">
        <v>1091</v>
      </c>
      <c r="K44" s="192" t="s">
        <v>13</v>
      </c>
      <c r="L44" s="192">
        <v>50</v>
      </c>
      <c r="M44" s="193">
        <v>46103</v>
      </c>
      <c r="N44" s="192">
        <v>50</v>
      </c>
      <c r="O44" s="192">
        <v>50</v>
      </c>
      <c r="P44" s="192">
        <v>50</v>
      </c>
      <c r="Q44" s="192">
        <v>50</v>
      </c>
      <c r="R44" s="192">
        <v>50</v>
      </c>
      <c r="S44" s="192">
        <v>50</v>
      </c>
      <c r="T44" s="192">
        <v>50</v>
      </c>
      <c r="U44" s="192">
        <f t="shared" si="11"/>
        <v>0</v>
      </c>
      <c r="V44" s="192">
        <v>50</v>
      </c>
      <c r="W44" s="192">
        <f t="shared" si="12"/>
        <v>0</v>
      </c>
      <c r="X44" s="194">
        <f t="shared" si="13"/>
        <v>0</v>
      </c>
      <c r="Y44" s="194">
        <f t="shared" si="14"/>
        <v>0</v>
      </c>
      <c r="Z44" s="194">
        <f t="shared" si="15"/>
        <v>0</v>
      </c>
      <c r="AA44" s="194">
        <f t="shared" si="16"/>
        <v>0</v>
      </c>
      <c r="AB44" s="194">
        <f t="shared" si="17"/>
        <v>0</v>
      </c>
      <c r="AC44" s="194">
        <f t="shared" si="18"/>
        <v>0</v>
      </c>
      <c r="AD44" s="194">
        <f t="shared" si="19"/>
        <v>0</v>
      </c>
      <c r="AE44" s="194">
        <f t="shared" si="20"/>
        <v>0</v>
      </c>
      <c r="AF44" s="194">
        <v>0</v>
      </c>
      <c r="AG44" s="194">
        <v>0</v>
      </c>
      <c r="AH44" s="194">
        <v>0</v>
      </c>
      <c r="AI44" s="194">
        <v>0</v>
      </c>
      <c r="AJ44" s="194">
        <v>0</v>
      </c>
      <c r="AK44" s="194">
        <f t="shared" si="21"/>
        <v>0</v>
      </c>
    </row>
    <row r="45" spans="1:37" ht="15" customHeight="1" x14ac:dyDescent="0.25">
      <c r="A45" s="192" t="s">
        <v>1087</v>
      </c>
      <c r="B45" s="192" t="s">
        <v>478</v>
      </c>
      <c r="C45" s="192" t="s">
        <v>1088</v>
      </c>
      <c r="D45" s="192" t="s">
        <v>997</v>
      </c>
      <c r="E45" s="192" t="s">
        <v>998</v>
      </c>
      <c r="F45" s="192" t="s">
        <v>1089</v>
      </c>
      <c r="G45" s="193">
        <v>46057</v>
      </c>
      <c r="H45" s="192" t="s">
        <v>1000</v>
      </c>
      <c r="I45" s="192" t="s">
        <v>1092</v>
      </c>
      <c r="J45" s="192" t="s">
        <v>1093</v>
      </c>
      <c r="K45" s="192" t="s">
        <v>13</v>
      </c>
      <c r="L45" s="192">
        <v>50</v>
      </c>
      <c r="M45" s="193">
        <v>46103</v>
      </c>
      <c r="N45" s="192">
        <v>50</v>
      </c>
      <c r="O45" s="192">
        <v>50</v>
      </c>
      <c r="P45" s="192">
        <v>50</v>
      </c>
      <c r="Q45" s="192">
        <v>50</v>
      </c>
      <c r="R45" s="192">
        <v>50</v>
      </c>
      <c r="S45" s="192">
        <v>50</v>
      </c>
      <c r="T45" s="192">
        <v>50</v>
      </c>
      <c r="U45" s="192">
        <f t="shared" si="11"/>
        <v>0</v>
      </c>
      <c r="V45" s="192">
        <v>50</v>
      </c>
      <c r="W45" s="192">
        <f t="shared" si="12"/>
        <v>0</v>
      </c>
      <c r="X45" s="194">
        <f t="shared" si="13"/>
        <v>0</v>
      </c>
      <c r="Y45" s="194">
        <f t="shared" si="14"/>
        <v>0</v>
      </c>
      <c r="Z45" s="194">
        <f t="shared" si="15"/>
        <v>0</v>
      </c>
      <c r="AA45" s="194">
        <f t="shared" si="16"/>
        <v>0</v>
      </c>
      <c r="AB45" s="194">
        <f t="shared" si="17"/>
        <v>0</v>
      </c>
      <c r="AC45" s="194">
        <f t="shared" si="18"/>
        <v>0</v>
      </c>
      <c r="AD45" s="194">
        <f t="shared" si="19"/>
        <v>0</v>
      </c>
      <c r="AE45" s="194">
        <f t="shared" si="20"/>
        <v>0</v>
      </c>
      <c r="AF45" s="194">
        <v>0</v>
      </c>
      <c r="AG45" s="194">
        <v>0</v>
      </c>
      <c r="AH45" s="194">
        <v>0</v>
      </c>
      <c r="AI45" s="194">
        <v>0</v>
      </c>
      <c r="AJ45" s="194">
        <v>0</v>
      </c>
      <c r="AK45" s="194">
        <f t="shared" si="21"/>
        <v>0</v>
      </c>
    </row>
    <row r="46" spans="1:37" ht="15" customHeight="1" x14ac:dyDescent="0.25">
      <c r="A46" s="192" t="s">
        <v>1087</v>
      </c>
      <c r="B46" s="192" t="s">
        <v>481</v>
      </c>
      <c r="C46" s="192" t="s">
        <v>1088</v>
      </c>
      <c r="D46" s="192" t="s">
        <v>997</v>
      </c>
      <c r="E46" s="192" t="s">
        <v>998</v>
      </c>
      <c r="F46" s="192" t="s">
        <v>1094</v>
      </c>
      <c r="G46" s="193">
        <v>46057</v>
      </c>
      <c r="H46" s="192" t="s">
        <v>1000</v>
      </c>
      <c r="I46" s="192" t="s">
        <v>1090</v>
      </c>
      <c r="J46" s="192" t="s">
        <v>1091</v>
      </c>
      <c r="K46" s="192" t="s">
        <v>13</v>
      </c>
      <c r="L46" s="192">
        <v>3</v>
      </c>
      <c r="M46" s="193">
        <v>46073</v>
      </c>
      <c r="N46" s="192">
        <v>3</v>
      </c>
      <c r="O46" s="192">
        <v>3</v>
      </c>
      <c r="P46" s="192">
        <v>3</v>
      </c>
      <c r="Q46" s="192">
        <v>3</v>
      </c>
      <c r="R46" s="192">
        <v>3</v>
      </c>
      <c r="S46" s="192">
        <v>3</v>
      </c>
      <c r="T46" s="192">
        <v>3</v>
      </c>
      <c r="U46" s="192">
        <f t="shared" si="11"/>
        <v>0</v>
      </c>
      <c r="V46" s="192">
        <v>3</v>
      </c>
      <c r="W46" s="192">
        <f t="shared" si="12"/>
        <v>0</v>
      </c>
      <c r="X46" s="194">
        <f t="shared" si="13"/>
        <v>0</v>
      </c>
      <c r="Y46" s="194">
        <f t="shared" si="14"/>
        <v>0</v>
      </c>
      <c r="Z46" s="194">
        <f t="shared" si="15"/>
        <v>0</v>
      </c>
      <c r="AA46" s="194">
        <f t="shared" si="16"/>
        <v>0</v>
      </c>
      <c r="AB46" s="194">
        <f t="shared" si="17"/>
        <v>0</v>
      </c>
      <c r="AC46" s="194">
        <f t="shared" si="18"/>
        <v>0</v>
      </c>
      <c r="AD46" s="194">
        <f t="shared" si="19"/>
        <v>0</v>
      </c>
      <c r="AE46" s="194">
        <f t="shared" si="20"/>
        <v>0</v>
      </c>
      <c r="AF46" s="194">
        <v>0</v>
      </c>
      <c r="AG46" s="194">
        <v>0</v>
      </c>
      <c r="AH46" s="194">
        <v>0</v>
      </c>
      <c r="AI46" s="194">
        <v>0</v>
      </c>
      <c r="AJ46" s="194">
        <v>0</v>
      </c>
      <c r="AK46" s="194">
        <f t="shared" si="21"/>
        <v>0</v>
      </c>
    </row>
    <row r="47" spans="1:37" ht="15" customHeight="1" x14ac:dyDescent="0.25">
      <c r="A47" s="192" t="s">
        <v>1087</v>
      </c>
      <c r="B47" s="192" t="s">
        <v>481</v>
      </c>
      <c r="C47" s="192" t="s">
        <v>1088</v>
      </c>
      <c r="D47" s="192" t="s">
        <v>997</v>
      </c>
      <c r="E47" s="192" t="s">
        <v>998</v>
      </c>
      <c r="F47" s="192" t="s">
        <v>1094</v>
      </c>
      <c r="G47" s="193">
        <v>46057</v>
      </c>
      <c r="H47" s="192" t="s">
        <v>1000</v>
      </c>
      <c r="I47" s="192" t="s">
        <v>1092</v>
      </c>
      <c r="J47" s="192" t="s">
        <v>1093</v>
      </c>
      <c r="K47" s="192" t="s">
        <v>13</v>
      </c>
      <c r="L47" s="192">
        <v>3</v>
      </c>
      <c r="M47" s="193">
        <v>46073</v>
      </c>
      <c r="N47" s="192">
        <v>3</v>
      </c>
      <c r="O47" s="192">
        <v>3</v>
      </c>
      <c r="P47" s="192">
        <v>3</v>
      </c>
      <c r="Q47" s="192">
        <v>3</v>
      </c>
      <c r="R47" s="192">
        <v>3</v>
      </c>
      <c r="S47" s="192">
        <v>3</v>
      </c>
      <c r="T47" s="192">
        <v>3</v>
      </c>
      <c r="U47" s="192">
        <f t="shared" si="11"/>
        <v>0</v>
      </c>
      <c r="V47" s="192">
        <v>3</v>
      </c>
      <c r="W47" s="192">
        <f t="shared" si="12"/>
        <v>0</v>
      </c>
      <c r="X47" s="194">
        <f t="shared" si="13"/>
        <v>0</v>
      </c>
      <c r="Y47" s="194">
        <f t="shared" si="14"/>
        <v>0</v>
      </c>
      <c r="Z47" s="194">
        <f t="shared" si="15"/>
        <v>0</v>
      </c>
      <c r="AA47" s="194">
        <f t="shared" si="16"/>
        <v>0</v>
      </c>
      <c r="AB47" s="194">
        <f t="shared" si="17"/>
        <v>0</v>
      </c>
      <c r="AC47" s="194">
        <f t="shared" si="18"/>
        <v>0</v>
      </c>
      <c r="AD47" s="194">
        <f t="shared" si="19"/>
        <v>0</v>
      </c>
      <c r="AE47" s="194">
        <f t="shared" si="20"/>
        <v>0</v>
      </c>
      <c r="AF47" s="194">
        <v>0</v>
      </c>
      <c r="AG47" s="194">
        <v>0</v>
      </c>
      <c r="AH47" s="194">
        <v>0</v>
      </c>
      <c r="AI47" s="194">
        <v>0</v>
      </c>
      <c r="AJ47" s="194">
        <v>0</v>
      </c>
      <c r="AK47" s="194">
        <f t="shared" si="21"/>
        <v>0</v>
      </c>
    </row>
    <row r="48" spans="1:37" ht="15" customHeight="1" x14ac:dyDescent="0.25">
      <c r="A48" s="192" t="s">
        <v>1095</v>
      </c>
      <c r="B48" s="192" t="s">
        <v>707</v>
      </c>
      <c r="C48" s="192" t="s">
        <v>1096</v>
      </c>
      <c r="D48" s="192" t="s">
        <v>997</v>
      </c>
      <c r="E48" s="192" t="s">
        <v>998</v>
      </c>
      <c r="F48" s="192" t="s">
        <v>1097</v>
      </c>
      <c r="G48" s="193">
        <v>46038</v>
      </c>
      <c r="H48" s="192" t="s">
        <v>1000</v>
      </c>
      <c r="I48" s="192" t="s">
        <v>1098</v>
      </c>
      <c r="J48" s="192" t="s">
        <v>1099</v>
      </c>
      <c r="K48" s="192" t="s">
        <v>15</v>
      </c>
      <c r="L48" s="192">
        <v>24</v>
      </c>
      <c r="M48" s="193">
        <v>46086</v>
      </c>
      <c r="N48" s="192">
        <v>24</v>
      </c>
      <c r="O48" s="192">
        <v>24</v>
      </c>
      <c r="P48" s="192">
        <v>24</v>
      </c>
      <c r="Q48" s="192">
        <v>24</v>
      </c>
      <c r="R48" s="192">
        <v>24</v>
      </c>
      <c r="S48" s="192">
        <v>24</v>
      </c>
      <c r="T48" s="192">
        <v>24</v>
      </c>
      <c r="U48" s="192">
        <f t="shared" si="11"/>
        <v>0</v>
      </c>
      <c r="V48" s="192">
        <v>24</v>
      </c>
      <c r="W48" s="192">
        <f t="shared" si="12"/>
        <v>0</v>
      </c>
      <c r="X48" s="194">
        <f t="shared" si="13"/>
        <v>0</v>
      </c>
      <c r="Y48" s="194">
        <f t="shared" si="14"/>
        <v>0</v>
      </c>
      <c r="Z48" s="194">
        <f t="shared" si="15"/>
        <v>0</v>
      </c>
      <c r="AA48" s="194">
        <f t="shared" si="16"/>
        <v>0</v>
      </c>
      <c r="AB48" s="194">
        <f t="shared" si="17"/>
        <v>0</v>
      </c>
      <c r="AC48" s="194">
        <f t="shared" si="18"/>
        <v>0</v>
      </c>
      <c r="AD48" s="194">
        <f t="shared" si="19"/>
        <v>0</v>
      </c>
      <c r="AE48" s="194">
        <f t="shared" si="20"/>
        <v>0</v>
      </c>
      <c r="AF48" s="194">
        <v>0</v>
      </c>
      <c r="AG48" s="194">
        <v>0</v>
      </c>
      <c r="AH48" s="194">
        <v>0</v>
      </c>
      <c r="AI48" s="194">
        <v>0</v>
      </c>
      <c r="AJ48" s="194">
        <v>0</v>
      </c>
      <c r="AK48" s="194">
        <f t="shared" si="21"/>
        <v>0</v>
      </c>
    </row>
    <row r="49" spans="1:37" ht="15" customHeight="1" x14ac:dyDescent="0.25">
      <c r="A49" s="192" t="s">
        <v>1100</v>
      </c>
      <c r="B49" s="192" t="s">
        <v>430</v>
      </c>
      <c r="C49" s="192" t="s">
        <v>869</v>
      </c>
      <c r="D49" s="192" t="s">
        <v>997</v>
      </c>
      <c r="E49" s="192" t="s">
        <v>998</v>
      </c>
      <c r="F49" s="192" t="s">
        <v>1101</v>
      </c>
      <c r="G49" s="193">
        <v>46038</v>
      </c>
      <c r="H49" s="192" t="s">
        <v>1000</v>
      </c>
      <c r="I49" s="192" t="s">
        <v>1098</v>
      </c>
      <c r="J49" s="192" t="s">
        <v>1102</v>
      </c>
      <c r="K49" s="192" t="s">
        <v>15</v>
      </c>
      <c r="L49" s="192">
        <v>14</v>
      </c>
      <c r="M49" s="193">
        <v>46088</v>
      </c>
      <c r="N49" s="192">
        <v>14</v>
      </c>
      <c r="O49" s="192">
        <v>14</v>
      </c>
      <c r="P49" s="192">
        <v>14</v>
      </c>
      <c r="Q49" s="192">
        <v>14</v>
      </c>
      <c r="R49" s="192">
        <v>14</v>
      </c>
      <c r="S49" s="192">
        <v>14</v>
      </c>
      <c r="T49" s="192">
        <v>14</v>
      </c>
      <c r="U49" s="192">
        <f t="shared" si="11"/>
        <v>0</v>
      </c>
      <c r="V49" s="192">
        <v>14</v>
      </c>
      <c r="W49" s="192">
        <f t="shared" si="12"/>
        <v>0</v>
      </c>
      <c r="X49" s="194">
        <f t="shared" si="13"/>
        <v>0</v>
      </c>
      <c r="Y49" s="194">
        <f t="shared" si="14"/>
        <v>0</v>
      </c>
      <c r="Z49" s="194">
        <f t="shared" si="15"/>
        <v>0</v>
      </c>
      <c r="AA49" s="194">
        <f t="shared" si="16"/>
        <v>0</v>
      </c>
      <c r="AB49" s="194">
        <f t="shared" si="17"/>
        <v>0</v>
      </c>
      <c r="AC49" s="194">
        <f t="shared" si="18"/>
        <v>0</v>
      </c>
      <c r="AD49" s="194">
        <f t="shared" si="19"/>
        <v>0</v>
      </c>
      <c r="AE49" s="194">
        <f t="shared" si="20"/>
        <v>0</v>
      </c>
      <c r="AF49" s="194">
        <v>0</v>
      </c>
      <c r="AG49" s="194">
        <v>0</v>
      </c>
      <c r="AH49" s="194">
        <v>0</v>
      </c>
      <c r="AI49" s="194">
        <v>0</v>
      </c>
      <c r="AJ49" s="194">
        <v>0</v>
      </c>
      <c r="AK49" s="194">
        <f t="shared" si="21"/>
        <v>0</v>
      </c>
    </row>
    <row r="50" spans="1:37" ht="15" customHeight="1" x14ac:dyDescent="0.25">
      <c r="A50" s="192" t="s">
        <v>1100</v>
      </c>
      <c r="B50" s="192" t="s">
        <v>430</v>
      </c>
      <c r="C50" s="192" t="s">
        <v>869</v>
      </c>
      <c r="D50" s="192" t="s">
        <v>997</v>
      </c>
      <c r="E50" s="192" t="s">
        <v>998</v>
      </c>
      <c r="F50" s="192" t="s">
        <v>1101</v>
      </c>
      <c r="G50" s="193">
        <v>46038</v>
      </c>
      <c r="H50" s="192" t="s">
        <v>1000</v>
      </c>
      <c r="I50" s="192" t="s">
        <v>1103</v>
      </c>
      <c r="J50" s="192" t="s">
        <v>1104</v>
      </c>
      <c r="K50" s="192" t="s">
        <v>13</v>
      </c>
      <c r="L50" s="192">
        <v>14</v>
      </c>
      <c r="M50" s="193">
        <v>46088</v>
      </c>
      <c r="N50" s="192">
        <v>14</v>
      </c>
      <c r="O50" s="192">
        <v>14</v>
      </c>
      <c r="P50" s="192">
        <v>14</v>
      </c>
      <c r="Q50" s="192">
        <v>14</v>
      </c>
      <c r="R50" s="192">
        <v>14</v>
      </c>
      <c r="S50" s="192">
        <v>14</v>
      </c>
      <c r="T50" s="192">
        <v>14</v>
      </c>
      <c r="U50" s="192">
        <f t="shared" si="11"/>
        <v>0</v>
      </c>
      <c r="V50" s="192">
        <v>14</v>
      </c>
      <c r="W50" s="192">
        <f t="shared" si="12"/>
        <v>0</v>
      </c>
      <c r="X50" s="194">
        <f t="shared" si="13"/>
        <v>0</v>
      </c>
      <c r="Y50" s="194">
        <f t="shared" si="14"/>
        <v>0</v>
      </c>
      <c r="Z50" s="194">
        <f t="shared" si="15"/>
        <v>0</v>
      </c>
      <c r="AA50" s="194">
        <f t="shared" si="16"/>
        <v>0</v>
      </c>
      <c r="AB50" s="194">
        <f t="shared" si="17"/>
        <v>0</v>
      </c>
      <c r="AC50" s="194">
        <f t="shared" si="18"/>
        <v>0</v>
      </c>
      <c r="AD50" s="194">
        <f t="shared" si="19"/>
        <v>0</v>
      </c>
      <c r="AE50" s="194">
        <f t="shared" si="20"/>
        <v>0</v>
      </c>
      <c r="AF50" s="194">
        <v>0</v>
      </c>
      <c r="AG50" s="194">
        <v>0</v>
      </c>
      <c r="AH50" s="194">
        <v>0</v>
      </c>
      <c r="AI50" s="194">
        <v>0</v>
      </c>
      <c r="AJ50" s="194">
        <v>0</v>
      </c>
      <c r="AK50" s="194">
        <f t="shared" si="21"/>
        <v>0</v>
      </c>
    </row>
    <row r="51" spans="1:37" ht="15" customHeight="1" x14ac:dyDescent="0.25">
      <c r="A51" s="192" t="s">
        <v>1105</v>
      </c>
      <c r="B51" s="192" t="s">
        <v>700</v>
      </c>
      <c r="C51" s="192" t="s">
        <v>1088</v>
      </c>
      <c r="D51" s="192" t="s">
        <v>997</v>
      </c>
      <c r="E51" s="192" t="s">
        <v>998</v>
      </c>
      <c r="F51" s="192" t="s">
        <v>1106</v>
      </c>
      <c r="G51" s="193">
        <v>46038</v>
      </c>
      <c r="H51" s="192" t="s">
        <v>1000</v>
      </c>
      <c r="I51" s="192" t="s">
        <v>1107</v>
      </c>
      <c r="J51" s="192" t="s">
        <v>1108</v>
      </c>
      <c r="K51" s="192" t="s">
        <v>15</v>
      </c>
      <c r="L51" s="192">
        <v>2</v>
      </c>
      <c r="M51" s="193">
        <v>46051</v>
      </c>
      <c r="N51" s="192">
        <v>2</v>
      </c>
      <c r="O51" s="192">
        <v>2</v>
      </c>
      <c r="P51" s="192">
        <v>2</v>
      </c>
      <c r="Q51" s="192">
        <v>2</v>
      </c>
      <c r="R51" s="192">
        <v>2</v>
      </c>
      <c r="S51" s="192">
        <v>2</v>
      </c>
      <c r="T51" s="192">
        <v>2</v>
      </c>
      <c r="U51" s="192">
        <f t="shared" si="11"/>
        <v>0</v>
      </c>
      <c r="V51" s="192">
        <v>2</v>
      </c>
      <c r="W51" s="192">
        <f t="shared" si="12"/>
        <v>0</v>
      </c>
      <c r="X51" s="194">
        <f t="shared" si="13"/>
        <v>0</v>
      </c>
      <c r="Y51" s="194">
        <f t="shared" si="14"/>
        <v>0</v>
      </c>
      <c r="Z51" s="194">
        <f t="shared" si="15"/>
        <v>0</v>
      </c>
      <c r="AA51" s="194">
        <f t="shared" si="16"/>
        <v>0</v>
      </c>
      <c r="AB51" s="194">
        <f t="shared" si="17"/>
        <v>0</v>
      </c>
      <c r="AC51" s="194">
        <f t="shared" si="18"/>
        <v>0</v>
      </c>
      <c r="AD51" s="194">
        <f t="shared" si="19"/>
        <v>0</v>
      </c>
      <c r="AE51" s="194">
        <f t="shared" si="20"/>
        <v>0</v>
      </c>
      <c r="AF51" s="194">
        <v>0</v>
      </c>
      <c r="AG51" s="194">
        <v>0</v>
      </c>
      <c r="AH51" s="194">
        <v>0</v>
      </c>
      <c r="AI51" s="194">
        <v>0</v>
      </c>
      <c r="AJ51" s="194">
        <v>0</v>
      </c>
      <c r="AK51" s="194">
        <f t="shared" si="21"/>
        <v>0</v>
      </c>
    </row>
    <row r="52" spans="1:37" ht="15" customHeight="1" x14ac:dyDescent="0.25">
      <c r="A52" s="192" t="s">
        <v>1105</v>
      </c>
      <c r="B52" s="192" t="s">
        <v>700</v>
      </c>
      <c r="C52" s="192" t="s">
        <v>1088</v>
      </c>
      <c r="D52" s="192" t="s">
        <v>997</v>
      </c>
      <c r="E52" s="192" t="s">
        <v>998</v>
      </c>
      <c r="F52" s="192" t="s">
        <v>1106</v>
      </c>
      <c r="G52" s="193">
        <v>46038</v>
      </c>
      <c r="H52" s="192" t="s">
        <v>1000</v>
      </c>
      <c r="I52" s="192" t="s">
        <v>1109</v>
      </c>
      <c r="J52" s="192" t="s">
        <v>1110</v>
      </c>
      <c r="K52" s="192" t="s">
        <v>15</v>
      </c>
      <c r="L52" s="192">
        <v>3</v>
      </c>
      <c r="M52" s="193">
        <v>46051</v>
      </c>
      <c r="N52" s="192">
        <v>3</v>
      </c>
      <c r="O52" s="192">
        <v>3</v>
      </c>
      <c r="P52" s="192">
        <v>3</v>
      </c>
      <c r="Q52" s="192">
        <v>3</v>
      </c>
      <c r="R52" s="192">
        <v>3</v>
      </c>
      <c r="S52" s="192">
        <v>3</v>
      </c>
      <c r="T52" s="192">
        <v>3</v>
      </c>
      <c r="U52" s="192">
        <f t="shared" si="11"/>
        <v>0</v>
      </c>
      <c r="V52" s="192">
        <v>3</v>
      </c>
      <c r="W52" s="192">
        <f t="shared" si="12"/>
        <v>0</v>
      </c>
      <c r="X52" s="194">
        <f t="shared" si="13"/>
        <v>0</v>
      </c>
      <c r="Y52" s="194">
        <f t="shared" si="14"/>
        <v>0</v>
      </c>
      <c r="Z52" s="194">
        <f t="shared" si="15"/>
        <v>0</v>
      </c>
      <c r="AA52" s="194">
        <f t="shared" si="16"/>
        <v>0</v>
      </c>
      <c r="AB52" s="194">
        <f t="shared" si="17"/>
        <v>0</v>
      </c>
      <c r="AC52" s="194">
        <f t="shared" si="18"/>
        <v>0</v>
      </c>
      <c r="AD52" s="194">
        <f t="shared" si="19"/>
        <v>0</v>
      </c>
      <c r="AE52" s="194">
        <f t="shared" si="20"/>
        <v>0</v>
      </c>
      <c r="AF52" s="194">
        <v>0</v>
      </c>
      <c r="AG52" s="194">
        <v>0</v>
      </c>
      <c r="AH52" s="194">
        <v>0</v>
      </c>
      <c r="AI52" s="194">
        <v>0</v>
      </c>
      <c r="AJ52" s="194">
        <v>0</v>
      </c>
      <c r="AK52" s="194">
        <f t="shared" si="21"/>
        <v>0</v>
      </c>
    </row>
    <row r="53" spans="1:37" ht="15" customHeight="1" x14ac:dyDescent="0.25">
      <c r="A53" s="192" t="s">
        <v>1105</v>
      </c>
      <c r="B53" s="192" t="s">
        <v>697</v>
      </c>
      <c r="C53" s="192" t="s">
        <v>1088</v>
      </c>
      <c r="D53" s="192" t="s">
        <v>997</v>
      </c>
      <c r="E53" s="192" t="s">
        <v>998</v>
      </c>
      <c r="F53" s="192" t="s">
        <v>1111</v>
      </c>
      <c r="G53" s="193">
        <v>46028</v>
      </c>
      <c r="H53" s="192" t="s">
        <v>1000</v>
      </c>
      <c r="I53" s="192" t="s">
        <v>1109</v>
      </c>
      <c r="J53" s="192" t="s">
        <v>1110</v>
      </c>
      <c r="K53" s="192" t="s">
        <v>15</v>
      </c>
      <c r="L53" s="192">
        <v>110</v>
      </c>
      <c r="M53" s="193">
        <v>46073</v>
      </c>
      <c r="N53" s="192">
        <v>110</v>
      </c>
      <c r="O53" s="192">
        <v>110</v>
      </c>
      <c r="P53" s="192">
        <v>110</v>
      </c>
      <c r="Q53" s="192">
        <v>110</v>
      </c>
      <c r="R53" s="192">
        <v>110</v>
      </c>
      <c r="S53" s="192">
        <v>110</v>
      </c>
      <c r="T53" s="192">
        <v>110</v>
      </c>
      <c r="U53" s="192">
        <f t="shared" si="11"/>
        <v>0</v>
      </c>
      <c r="V53" s="192">
        <v>110</v>
      </c>
      <c r="W53" s="192">
        <f t="shared" si="12"/>
        <v>0</v>
      </c>
      <c r="X53" s="194">
        <f t="shared" si="13"/>
        <v>0</v>
      </c>
      <c r="Y53" s="194">
        <f t="shared" si="14"/>
        <v>0</v>
      </c>
      <c r="Z53" s="194">
        <f t="shared" si="15"/>
        <v>0</v>
      </c>
      <c r="AA53" s="194">
        <f t="shared" si="16"/>
        <v>0</v>
      </c>
      <c r="AB53" s="194">
        <f t="shared" si="17"/>
        <v>0</v>
      </c>
      <c r="AC53" s="194">
        <f t="shared" si="18"/>
        <v>0</v>
      </c>
      <c r="AD53" s="194">
        <f t="shared" si="19"/>
        <v>0</v>
      </c>
      <c r="AE53" s="194">
        <f t="shared" si="20"/>
        <v>0</v>
      </c>
      <c r="AF53" s="194">
        <v>0</v>
      </c>
      <c r="AG53" s="194">
        <v>0</v>
      </c>
      <c r="AH53" s="194">
        <v>0</v>
      </c>
      <c r="AI53" s="194">
        <v>0</v>
      </c>
      <c r="AJ53" s="194">
        <v>0</v>
      </c>
      <c r="AK53" s="194">
        <f t="shared" si="21"/>
        <v>0</v>
      </c>
    </row>
    <row r="54" spans="1:37" ht="15" customHeight="1" x14ac:dyDescent="0.25">
      <c r="A54" s="192" t="s">
        <v>1112</v>
      </c>
      <c r="B54" s="192" t="s">
        <v>521</v>
      </c>
      <c r="C54" s="192" t="s">
        <v>871</v>
      </c>
      <c r="D54" s="192" t="s">
        <v>997</v>
      </c>
      <c r="E54" s="192" t="s">
        <v>998</v>
      </c>
      <c r="F54" s="192" t="s">
        <v>1113</v>
      </c>
      <c r="G54" s="193">
        <v>46123</v>
      </c>
      <c r="H54" s="192" t="s">
        <v>1000</v>
      </c>
      <c r="I54" s="192" t="s">
        <v>1005</v>
      </c>
      <c r="J54" s="192" t="s">
        <v>1006</v>
      </c>
      <c r="K54" s="192" t="s">
        <v>13</v>
      </c>
      <c r="L54" s="192">
        <v>20</v>
      </c>
      <c r="M54" s="193">
        <v>46172</v>
      </c>
      <c r="N54" s="192">
        <v>20</v>
      </c>
      <c r="O54" s="192">
        <v>20</v>
      </c>
      <c r="P54" s="192">
        <v>20</v>
      </c>
      <c r="Q54" s="192">
        <v>20</v>
      </c>
      <c r="R54" s="192">
        <v>20</v>
      </c>
      <c r="S54" s="192">
        <v>20</v>
      </c>
      <c r="T54" s="192">
        <v>20</v>
      </c>
      <c r="U54" s="192">
        <f t="shared" si="11"/>
        <v>0</v>
      </c>
      <c r="V54" s="192">
        <v>20</v>
      </c>
      <c r="W54" s="192">
        <f t="shared" si="12"/>
        <v>0</v>
      </c>
      <c r="X54" s="194">
        <f t="shared" si="13"/>
        <v>0</v>
      </c>
      <c r="Y54" s="194">
        <f t="shared" si="14"/>
        <v>0</v>
      </c>
      <c r="Z54" s="194">
        <f t="shared" si="15"/>
        <v>0</v>
      </c>
      <c r="AA54" s="194">
        <f t="shared" si="16"/>
        <v>0</v>
      </c>
      <c r="AB54" s="194">
        <f t="shared" si="17"/>
        <v>0</v>
      </c>
      <c r="AC54" s="194">
        <f t="shared" si="18"/>
        <v>0</v>
      </c>
      <c r="AD54" s="194">
        <f t="shared" si="19"/>
        <v>0</v>
      </c>
      <c r="AE54" s="194">
        <f t="shared" si="20"/>
        <v>0</v>
      </c>
      <c r="AF54" s="194">
        <v>0</v>
      </c>
      <c r="AG54" s="194">
        <v>0</v>
      </c>
      <c r="AH54" s="194">
        <v>0</v>
      </c>
      <c r="AI54" s="194">
        <v>0</v>
      </c>
      <c r="AJ54" s="194">
        <v>0</v>
      </c>
      <c r="AK54" s="194">
        <f t="shared" si="21"/>
        <v>0</v>
      </c>
    </row>
    <row r="55" spans="1:37" ht="15" customHeight="1" x14ac:dyDescent="0.25">
      <c r="A55" s="192" t="s">
        <v>1112</v>
      </c>
      <c r="B55" s="192" t="s">
        <v>521</v>
      </c>
      <c r="C55" s="192" t="s">
        <v>871</v>
      </c>
      <c r="D55" s="192" t="s">
        <v>997</v>
      </c>
      <c r="E55" s="192" t="s">
        <v>998</v>
      </c>
      <c r="F55" s="192" t="s">
        <v>1113</v>
      </c>
      <c r="G55" s="193">
        <v>46123</v>
      </c>
      <c r="H55" s="192" t="s">
        <v>1000</v>
      </c>
      <c r="I55" s="192" t="s">
        <v>1009</v>
      </c>
      <c r="J55" s="192" t="s">
        <v>1010</v>
      </c>
      <c r="K55" s="192" t="s">
        <v>13</v>
      </c>
      <c r="L55" s="192">
        <v>20</v>
      </c>
      <c r="M55" s="193">
        <v>46172</v>
      </c>
      <c r="N55" s="192">
        <v>20</v>
      </c>
      <c r="O55" s="192">
        <v>20</v>
      </c>
      <c r="P55" s="192">
        <v>20</v>
      </c>
      <c r="Q55" s="192">
        <v>20</v>
      </c>
      <c r="R55" s="192">
        <v>20</v>
      </c>
      <c r="S55" s="192">
        <v>20</v>
      </c>
      <c r="T55" s="192">
        <v>20</v>
      </c>
      <c r="U55" s="192">
        <f t="shared" si="11"/>
        <v>0</v>
      </c>
      <c r="V55" s="192">
        <v>20</v>
      </c>
      <c r="W55" s="192">
        <f t="shared" si="12"/>
        <v>0</v>
      </c>
      <c r="X55" s="194">
        <f t="shared" si="13"/>
        <v>0</v>
      </c>
      <c r="Y55" s="194">
        <f t="shared" si="14"/>
        <v>0</v>
      </c>
      <c r="Z55" s="194">
        <f t="shared" si="15"/>
        <v>0</v>
      </c>
      <c r="AA55" s="194">
        <f t="shared" si="16"/>
        <v>0</v>
      </c>
      <c r="AB55" s="194">
        <f t="shared" si="17"/>
        <v>0</v>
      </c>
      <c r="AC55" s="194">
        <f t="shared" si="18"/>
        <v>0</v>
      </c>
      <c r="AD55" s="194">
        <f t="shared" si="19"/>
        <v>0</v>
      </c>
      <c r="AE55" s="194">
        <f t="shared" si="20"/>
        <v>0</v>
      </c>
      <c r="AF55" s="194">
        <v>0</v>
      </c>
      <c r="AG55" s="194">
        <v>0</v>
      </c>
      <c r="AH55" s="194">
        <v>0</v>
      </c>
      <c r="AI55" s="194">
        <v>0</v>
      </c>
      <c r="AJ55" s="194">
        <v>0</v>
      </c>
      <c r="AK55" s="194">
        <f t="shared" si="21"/>
        <v>0</v>
      </c>
    </row>
    <row r="56" spans="1:37" ht="15" customHeight="1" x14ac:dyDescent="0.25">
      <c r="A56" s="192" t="s">
        <v>1112</v>
      </c>
      <c r="B56" s="192" t="s">
        <v>521</v>
      </c>
      <c r="C56" s="192" t="s">
        <v>871</v>
      </c>
      <c r="D56" s="192" t="s">
        <v>997</v>
      </c>
      <c r="E56" s="192" t="s">
        <v>998</v>
      </c>
      <c r="F56" s="192" t="s">
        <v>1113</v>
      </c>
      <c r="G56" s="193">
        <v>46123</v>
      </c>
      <c r="H56" s="192" t="s">
        <v>1000</v>
      </c>
      <c r="I56" s="192" t="s">
        <v>1013</v>
      </c>
      <c r="J56" s="192" t="s">
        <v>1014</v>
      </c>
      <c r="K56" s="192" t="s">
        <v>13</v>
      </c>
      <c r="L56" s="192">
        <v>40</v>
      </c>
      <c r="M56" s="193">
        <v>46172</v>
      </c>
      <c r="N56" s="192">
        <v>40</v>
      </c>
      <c r="O56" s="192">
        <v>40</v>
      </c>
      <c r="P56" s="192">
        <v>40</v>
      </c>
      <c r="Q56" s="192">
        <v>40</v>
      </c>
      <c r="R56" s="192">
        <v>40</v>
      </c>
      <c r="S56" s="192">
        <v>40</v>
      </c>
      <c r="T56" s="192">
        <v>40</v>
      </c>
      <c r="U56" s="192">
        <f t="shared" si="11"/>
        <v>0</v>
      </c>
      <c r="V56" s="192">
        <v>40</v>
      </c>
      <c r="W56" s="192">
        <f t="shared" si="12"/>
        <v>0</v>
      </c>
      <c r="X56" s="194">
        <f t="shared" si="13"/>
        <v>0</v>
      </c>
      <c r="Y56" s="194">
        <f t="shared" si="14"/>
        <v>0</v>
      </c>
      <c r="Z56" s="194">
        <f t="shared" si="15"/>
        <v>0</v>
      </c>
      <c r="AA56" s="194">
        <f t="shared" si="16"/>
        <v>0</v>
      </c>
      <c r="AB56" s="194">
        <f t="shared" si="17"/>
        <v>0</v>
      </c>
      <c r="AC56" s="194">
        <f t="shared" si="18"/>
        <v>0</v>
      </c>
      <c r="AD56" s="194">
        <f t="shared" si="19"/>
        <v>0</v>
      </c>
      <c r="AE56" s="194">
        <f t="shared" si="20"/>
        <v>0</v>
      </c>
      <c r="AF56" s="194">
        <v>0</v>
      </c>
      <c r="AG56" s="194">
        <v>0</v>
      </c>
      <c r="AH56" s="194">
        <v>0</v>
      </c>
      <c r="AI56" s="194">
        <v>0</v>
      </c>
      <c r="AJ56" s="194">
        <v>0</v>
      </c>
      <c r="AK56" s="194">
        <f t="shared" si="21"/>
        <v>0</v>
      </c>
    </row>
    <row r="57" spans="1:37" ht="15" customHeight="1" x14ac:dyDescent="0.25">
      <c r="A57" s="192" t="s">
        <v>1114</v>
      </c>
      <c r="B57" s="192" t="s">
        <v>550</v>
      </c>
      <c r="C57" s="192" t="s">
        <v>776</v>
      </c>
      <c r="D57" s="192" t="s">
        <v>997</v>
      </c>
      <c r="E57" s="192" t="s">
        <v>998</v>
      </c>
      <c r="F57" s="192" t="s">
        <v>1115</v>
      </c>
      <c r="G57" s="193">
        <v>46123</v>
      </c>
      <c r="H57" s="192" t="s">
        <v>1000</v>
      </c>
      <c r="I57" s="192" t="s">
        <v>1116</v>
      </c>
      <c r="J57" s="192" t="s">
        <v>1117</v>
      </c>
      <c r="K57" s="192" t="s">
        <v>13</v>
      </c>
      <c r="L57" s="192">
        <v>12</v>
      </c>
      <c r="M57" s="193">
        <v>46172</v>
      </c>
      <c r="N57" s="192">
        <v>12</v>
      </c>
      <c r="O57" s="192">
        <v>12</v>
      </c>
      <c r="P57" s="192">
        <v>12</v>
      </c>
      <c r="Q57" s="192">
        <v>12</v>
      </c>
      <c r="R57" s="192">
        <v>12</v>
      </c>
      <c r="S57" s="192">
        <v>12</v>
      </c>
      <c r="T57" s="192">
        <v>12</v>
      </c>
      <c r="U57" s="192">
        <f t="shared" si="11"/>
        <v>0</v>
      </c>
      <c r="V57" s="192">
        <v>12</v>
      </c>
      <c r="W57" s="192">
        <f t="shared" si="12"/>
        <v>0</v>
      </c>
      <c r="X57" s="194">
        <f t="shared" si="13"/>
        <v>0</v>
      </c>
      <c r="Y57" s="194">
        <f t="shared" si="14"/>
        <v>0</v>
      </c>
      <c r="Z57" s="194">
        <f t="shared" si="15"/>
        <v>0</v>
      </c>
      <c r="AA57" s="194">
        <f t="shared" si="16"/>
        <v>0</v>
      </c>
      <c r="AB57" s="194">
        <f t="shared" si="17"/>
        <v>0</v>
      </c>
      <c r="AC57" s="194">
        <f t="shared" si="18"/>
        <v>0</v>
      </c>
      <c r="AD57" s="194">
        <f t="shared" si="19"/>
        <v>0</v>
      </c>
      <c r="AE57" s="194">
        <f t="shared" si="20"/>
        <v>0</v>
      </c>
      <c r="AF57" s="194">
        <v>0</v>
      </c>
      <c r="AG57" s="194">
        <v>0</v>
      </c>
      <c r="AH57" s="194">
        <v>0</v>
      </c>
      <c r="AI57" s="194">
        <v>0</v>
      </c>
      <c r="AJ57" s="194">
        <v>0</v>
      </c>
      <c r="AK57" s="194">
        <f t="shared" si="21"/>
        <v>0</v>
      </c>
    </row>
    <row r="58" spans="1:37" ht="15" customHeight="1" x14ac:dyDescent="0.25">
      <c r="A58" s="192" t="s">
        <v>1114</v>
      </c>
      <c r="B58" s="192" t="s">
        <v>550</v>
      </c>
      <c r="C58" s="192" t="s">
        <v>776</v>
      </c>
      <c r="D58" s="192" t="s">
        <v>997</v>
      </c>
      <c r="E58" s="192" t="s">
        <v>998</v>
      </c>
      <c r="F58" s="192" t="s">
        <v>1115</v>
      </c>
      <c r="G58" s="193">
        <v>46123</v>
      </c>
      <c r="H58" s="192" t="s">
        <v>1000</v>
      </c>
      <c r="I58" s="192" t="s">
        <v>1118</v>
      </c>
      <c r="J58" s="192" t="s">
        <v>1119</v>
      </c>
      <c r="K58" s="192" t="s">
        <v>13</v>
      </c>
      <c r="L58" s="192">
        <v>6</v>
      </c>
      <c r="M58" s="193">
        <v>46172</v>
      </c>
      <c r="N58" s="192">
        <v>6</v>
      </c>
      <c r="O58" s="192">
        <v>6</v>
      </c>
      <c r="P58" s="192">
        <v>6</v>
      </c>
      <c r="Q58" s="192">
        <v>6</v>
      </c>
      <c r="R58" s="192">
        <v>6</v>
      </c>
      <c r="S58" s="192">
        <v>6</v>
      </c>
      <c r="T58" s="192">
        <v>6</v>
      </c>
      <c r="U58" s="192">
        <f t="shared" si="11"/>
        <v>0</v>
      </c>
      <c r="V58" s="192">
        <v>6</v>
      </c>
      <c r="W58" s="192">
        <f t="shared" si="12"/>
        <v>0</v>
      </c>
      <c r="X58" s="194">
        <f t="shared" si="13"/>
        <v>0</v>
      </c>
      <c r="Y58" s="194">
        <f t="shared" si="14"/>
        <v>0</v>
      </c>
      <c r="Z58" s="194">
        <f t="shared" si="15"/>
        <v>0</v>
      </c>
      <c r="AA58" s="194">
        <f t="shared" si="16"/>
        <v>0</v>
      </c>
      <c r="AB58" s="194">
        <f t="shared" si="17"/>
        <v>0</v>
      </c>
      <c r="AC58" s="194">
        <f t="shared" si="18"/>
        <v>0</v>
      </c>
      <c r="AD58" s="194">
        <f t="shared" si="19"/>
        <v>0</v>
      </c>
      <c r="AE58" s="194">
        <f t="shared" si="20"/>
        <v>0</v>
      </c>
      <c r="AF58" s="194">
        <v>0</v>
      </c>
      <c r="AG58" s="194">
        <v>0</v>
      </c>
      <c r="AH58" s="194">
        <v>0</v>
      </c>
      <c r="AI58" s="194">
        <v>0</v>
      </c>
      <c r="AJ58" s="194">
        <v>0</v>
      </c>
      <c r="AK58" s="194">
        <f t="shared" si="21"/>
        <v>0</v>
      </c>
    </row>
    <row r="59" spans="1:37" ht="15" customHeight="1" x14ac:dyDescent="0.25">
      <c r="A59" s="192" t="s">
        <v>1114</v>
      </c>
      <c r="B59" s="192" t="s">
        <v>550</v>
      </c>
      <c r="C59" s="192" t="s">
        <v>776</v>
      </c>
      <c r="D59" s="192" t="s">
        <v>997</v>
      </c>
      <c r="E59" s="192" t="s">
        <v>998</v>
      </c>
      <c r="F59" s="192" t="s">
        <v>1115</v>
      </c>
      <c r="G59" s="193">
        <v>46123</v>
      </c>
      <c r="H59" s="192" t="s">
        <v>1000</v>
      </c>
      <c r="I59" s="192" t="s">
        <v>1120</v>
      </c>
      <c r="J59" s="192" t="s">
        <v>1121</v>
      </c>
      <c r="K59" s="192" t="s">
        <v>15</v>
      </c>
      <c r="L59" s="192">
        <v>40</v>
      </c>
      <c r="M59" s="193">
        <v>46172</v>
      </c>
      <c r="N59" s="192">
        <v>40</v>
      </c>
      <c r="O59" s="192">
        <v>40</v>
      </c>
      <c r="P59" s="192">
        <v>40</v>
      </c>
      <c r="Q59" s="192">
        <v>40</v>
      </c>
      <c r="R59" s="192">
        <v>40</v>
      </c>
      <c r="S59" s="192">
        <v>40</v>
      </c>
      <c r="T59" s="192">
        <v>40</v>
      </c>
      <c r="U59" s="192">
        <f t="shared" si="11"/>
        <v>0</v>
      </c>
      <c r="V59" s="192">
        <v>40</v>
      </c>
      <c r="W59" s="192">
        <f t="shared" si="12"/>
        <v>0</v>
      </c>
      <c r="X59" s="194">
        <f t="shared" si="13"/>
        <v>0</v>
      </c>
      <c r="Y59" s="194">
        <f t="shared" si="14"/>
        <v>0</v>
      </c>
      <c r="Z59" s="194">
        <f t="shared" si="15"/>
        <v>0</v>
      </c>
      <c r="AA59" s="194">
        <f t="shared" si="16"/>
        <v>0</v>
      </c>
      <c r="AB59" s="194">
        <f t="shared" si="17"/>
        <v>0</v>
      </c>
      <c r="AC59" s="194">
        <f t="shared" si="18"/>
        <v>0</v>
      </c>
      <c r="AD59" s="194">
        <f t="shared" si="19"/>
        <v>0</v>
      </c>
      <c r="AE59" s="194">
        <f t="shared" si="20"/>
        <v>0</v>
      </c>
      <c r="AF59" s="194">
        <v>0</v>
      </c>
      <c r="AG59" s="194">
        <v>0</v>
      </c>
      <c r="AH59" s="194">
        <v>0</v>
      </c>
      <c r="AI59" s="194">
        <v>0</v>
      </c>
      <c r="AJ59" s="194">
        <v>0</v>
      </c>
      <c r="AK59" s="194">
        <f t="shared" si="21"/>
        <v>0</v>
      </c>
    </row>
    <row r="60" spans="1:37" ht="15" customHeight="1" x14ac:dyDescent="0.25">
      <c r="A60" s="192" t="s">
        <v>1114</v>
      </c>
      <c r="B60" s="192" t="s">
        <v>550</v>
      </c>
      <c r="C60" s="192" t="s">
        <v>776</v>
      </c>
      <c r="D60" s="192" t="s">
        <v>997</v>
      </c>
      <c r="E60" s="192" t="s">
        <v>998</v>
      </c>
      <c r="F60" s="192" t="s">
        <v>1115</v>
      </c>
      <c r="G60" s="193">
        <v>46123</v>
      </c>
      <c r="H60" s="192" t="s">
        <v>1000</v>
      </c>
      <c r="I60" s="192" t="s">
        <v>1069</v>
      </c>
      <c r="J60" s="192" t="s">
        <v>1122</v>
      </c>
      <c r="K60" s="192" t="s">
        <v>13</v>
      </c>
      <c r="L60" s="192">
        <v>20</v>
      </c>
      <c r="M60" s="193">
        <v>46172</v>
      </c>
      <c r="N60" s="192">
        <v>20</v>
      </c>
      <c r="O60" s="192">
        <v>20</v>
      </c>
      <c r="P60" s="192">
        <v>20</v>
      </c>
      <c r="Q60" s="192">
        <v>20</v>
      </c>
      <c r="R60" s="192">
        <v>20</v>
      </c>
      <c r="S60" s="192">
        <v>20</v>
      </c>
      <c r="T60" s="192">
        <v>20</v>
      </c>
      <c r="U60" s="192">
        <f t="shared" si="11"/>
        <v>0</v>
      </c>
      <c r="V60" s="192">
        <v>20</v>
      </c>
      <c r="W60" s="192">
        <f t="shared" si="12"/>
        <v>0</v>
      </c>
      <c r="X60" s="194">
        <f t="shared" si="13"/>
        <v>0</v>
      </c>
      <c r="Y60" s="194">
        <f t="shared" si="14"/>
        <v>0</v>
      </c>
      <c r="Z60" s="194">
        <f t="shared" si="15"/>
        <v>0</v>
      </c>
      <c r="AA60" s="194">
        <f t="shared" si="16"/>
        <v>0</v>
      </c>
      <c r="AB60" s="194">
        <f t="shared" si="17"/>
        <v>0</v>
      </c>
      <c r="AC60" s="194">
        <f t="shared" si="18"/>
        <v>0</v>
      </c>
      <c r="AD60" s="194">
        <f t="shared" si="19"/>
        <v>0</v>
      </c>
      <c r="AE60" s="194">
        <f t="shared" si="20"/>
        <v>0</v>
      </c>
      <c r="AF60" s="194">
        <v>0</v>
      </c>
      <c r="AG60" s="194">
        <v>0</v>
      </c>
      <c r="AH60" s="194">
        <v>0</v>
      </c>
      <c r="AI60" s="194">
        <v>0</v>
      </c>
      <c r="AJ60" s="194">
        <v>0</v>
      </c>
      <c r="AK60" s="194">
        <f t="shared" si="21"/>
        <v>0</v>
      </c>
    </row>
    <row r="61" spans="1:37" ht="15" customHeight="1" x14ac:dyDescent="0.25">
      <c r="A61" s="192" t="s">
        <v>1114</v>
      </c>
      <c r="B61" s="192" t="s">
        <v>550</v>
      </c>
      <c r="C61" s="192" t="s">
        <v>776</v>
      </c>
      <c r="D61" s="192" t="s">
        <v>997</v>
      </c>
      <c r="E61" s="192" t="s">
        <v>998</v>
      </c>
      <c r="F61" s="192" t="s">
        <v>1115</v>
      </c>
      <c r="G61" s="193">
        <v>46123</v>
      </c>
      <c r="H61" s="192" t="s">
        <v>1000</v>
      </c>
      <c r="I61" s="192" t="s">
        <v>1123</v>
      </c>
      <c r="J61" s="192" t="s">
        <v>1124</v>
      </c>
      <c r="K61" s="192" t="s">
        <v>13</v>
      </c>
      <c r="L61" s="192">
        <v>6</v>
      </c>
      <c r="M61" s="193">
        <v>46172</v>
      </c>
      <c r="N61" s="192">
        <v>6</v>
      </c>
      <c r="O61" s="192">
        <v>6</v>
      </c>
      <c r="P61" s="192">
        <v>6</v>
      </c>
      <c r="Q61" s="192">
        <v>6</v>
      </c>
      <c r="R61" s="192">
        <v>6</v>
      </c>
      <c r="S61" s="192">
        <v>6</v>
      </c>
      <c r="T61" s="192">
        <v>6</v>
      </c>
      <c r="U61" s="192">
        <f t="shared" si="11"/>
        <v>0</v>
      </c>
      <c r="V61" s="192">
        <v>6</v>
      </c>
      <c r="W61" s="192">
        <f t="shared" si="12"/>
        <v>0</v>
      </c>
      <c r="X61" s="194">
        <f t="shared" si="13"/>
        <v>0</v>
      </c>
      <c r="Y61" s="194">
        <f t="shared" si="14"/>
        <v>0</v>
      </c>
      <c r="Z61" s="194">
        <f t="shared" si="15"/>
        <v>0</v>
      </c>
      <c r="AA61" s="194">
        <f t="shared" si="16"/>
        <v>0</v>
      </c>
      <c r="AB61" s="194">
        <f t="shared" si="17"/>
        <v>0</v>
      </c>
      <c r="AC61" s="194">
        <f t="shared" si="18"/>
        <v>0</v>
      </c>
      <c r="AD61" s="194">
        <f t="shared" si="19"/>
        <v>0</v>
      </c>
      <c r="AE61" s="194">
        <f t="shared" si="20"/>
        <v>0</v>
      </c>
      <c r="AF61" s="194">
        <v>0</v>
      </c>
      <c r="AG61" s="194">
        <v>0</v>
      </c>
      <c r="AH61" s="194">
        <v>0</v>
      </c>
      <c r="AI61" s="194">
        <v>0</v>
      </c>
      <c r="AJ61" s="194">
        <v>0</v>
      </c>
      <c r="AK61" s="194">
        <f t="shared" si="21"/>
        <v>0</v>
      </c>
    </row>
    <row r="62" spans="1:37" ht="15" customHeight="1" x14ac:dyDescent="0.25">
      <c r="A62" s="192" t="s">
        <v>1114</v>
      </c>
      <c r="B62" s="192" t="s">
        <v>550</v>
      </c>
      <c r="C62" s="192" t="s">
        <v>776</v>
      </c>
      <c r="D62" s="192" t="s">
        <v>997</v>
      </c>
      <c r="E62" s="192" t="s">
        <v>998</v>
      </c>
      <c r="F62" s="192" t="s">
        <v>1115</v>
      </c>
      <c r="G62" s="193">
        <v>46123</v>
      </c>
      <c r="H62" s="192" t="s">
        <v>1000</v>
      </c>
      <c r="I62" s="192" t="s">
        <v>1067</v>
      </c>
      <c r="J62" s="192" t="s">
        <v>1125</v>
      </c>
      <c r="K62" s="192" t="s">
        <v>13</v>
      </c>
      <c r="L62" s="192">
        <v>10</v>
      </c>
      <c r="M62" s="193">
        <v>46172</v>
      </c>
      <c r="N62" s="192">
        <v>10</v>
      </c>
      <c r="O62" s="192">
        <v>10</v>
      </c>
      <c r="P62" s="192">
        <v>10</v>
      </c>
      <c r="Q62" s="192">
        <v>10</v>
      </c>
      <c r="R62" s="192">
        <v>10</v>
      </c>
      <c r="S62" s="192">
        <v>10</v>
      </c>
      <c r="T62" s="192">
        <v>10</v>
      </c>
      <c r="U62" s="192">
        <f t="shared" si="11"/>
        <v>0</v>
      </c>
      <c r="V62" s="192">
        <v>10</v>
      </c>
      <c r="W62" s="192">
        <f t="shared" si="12"/>
        <v>0</v>
      </c>
      <c r="X62" s="194">
        <f t="shared" si="13"/>
        <v>0</v>
      </c>
      <c r="Y62" s="194">
        <f t="shared" si="14"/>
        <v>0</v>
      </c>
      <c r="Z62" s="194">
        <f t="shared" si="15"/>
        <v>0</v>
      </c>
      <c r="AA62" s="194">
        <f t="shared" si="16"/>
        <v>0</v>
      </c>
      <c r="AB62" s="194">
        <f t="shared" si="17"/>
        <v>0</v>
      </c>
      <c r="AC62" s="194">
        <f t="shared" si="18"/>
        <v>0</v>
      </c>
      <c r="AD62" s="194">
        <f t="shared" si="19"/>
        <v>0</v>
      </c>
      <c r="AE62" s="194">
        <f t="shared" si="20"/>
        <v>0</v>
      </c>
      <c r="AF62" s="194">
        <v>0</v>
      </c>
      <c r="AG62" s="194">
        <v>0</v>
      </c>
      <c r="AH62" s="194">
        <v>0</v>
      </c>
      <c r="AI62" s="194">
        <v>0</v>
      </c>
      <c r="AJ62" s="194">
        <v>0</v>
      </c>
      <c r="AK62" s="194">
        <f t="shared" si="21"/>
        <v>0</v>
      </c>
    </row>
    <row r="63" spans="1:37" ht="15" customHeight="1" x14ac:dyDescent="0.25">
      <c r="A63" s="192" t="s">
        <v>1126</v>
      </c>
      <c r="B63" s="192" t="s">
        <v>523</v>
      </c>
      <c r="C63" s="192" t="s">
        <v>1127</v>
      </c>
      <c r="D63" s="192" t="s">
        <v>997</v>
      </c>
      <c r="E63" s="192" t="s">
        <v>998</v>
      </c>
      <c r="F63" s="192" t="s">
        <v>1128</v>
      </c>
      <c r="G63" s="193">
        <v>46125</v>
      </c>
      <c r="H63" s="192" t="s">
        <v>1000</v>
      </c>
      <c r="I63" s="192" t="s">
        <v>1129</v>
      </c>
      <c r="J63" s="192" t="s">
        <v>1130</v>
      </c>
      <c r="K63" s="192" t="s">
        <v>13</v>
      </c>
      <c r="L63" s="192">
        <v>12</v>
      </c>
      <c r="M63" s="193">
        <v>46178</v>
      </c>
      <c r="N63" s="192">
        <v>12</v>
      </c>
      <c r="O63" s="192">
        <v>12</v>
      </c>
      <c r="P63" s="192">
        <v>12</v>
      </c>
      <c r="Q63" s="192">
        <v>12</v>
      </c>
      <c r="R63" s="192">
        <v>12</v>
      </c>
      <c r="S63" s="192">
        <v>12</v>
      </c>
      <c r="T63" s="192">
        <v>12</v>
      </c>
      <c r="U63" s="192">
        <f t="shared" si="11"/>
        <v>0</v>
      </c>
      <c r="V63" s="192">
        <v>12</v>
      </c>
      <c r="W63" s="192">
        <f t="shared" si="12"/>
        <v>0</v>
      </c>
      <c r="X63" s="194">
        <f t="shared" si="13"/>
        <v>0</v>
      </c>
      <c r="Y63" s="194">
        <f t="shared" si="14"/>
        <v>0</v>
      </c>
      <c r="Z63" s="194">
        <f t="shared" si="15"/>
        <v>0</v>
      </c>
      <c r="AA63" s="194">
        <f t="shared" si="16"/>
        <v>0</v>
      </c>
      <c r="AB63" s="194">
        <f t="shared" si="17"/>
        <v>0</v>
      </c>
      <c r="AC63" s="194">
        <f t="shared" si="18"/>
        <v>0</v>
      </c>
      <c r="AD63" s="194">
        <f t="shared" si="19"/>
        <v>0</v>
      </c>
      <c r="AE63" s="194">
        <f t="shared" si="20"/>
        <v>0</v>
      </c>
      <c r="AF63" s="194">
        <v>0</v>
      </c>
      <c r="AG63" s="194">
        <v>0</v>
      </c>
      <c r="AH63" s="194">
        <v>0</v>
      </c>
      <c r="AI63" s="194">
        <v>0</v>
      </c>
      <c r="AJ63" s="194">
        <v>0</v>
      </c>
      <c r="AK63" s="194">
        <f t="shared" si="21"/>
        <v>0</v>
      </c>
    </row>
    <row r="64" spans="1:37" ht="15" customHeight="1" x14ac:dyDescent="0.25">
      <c r="A64" s="192" t="s">
        <v>1131</v>
      </c>
      <c r="B64" s="192" t="s">
        <v>533</v>
      </c>
      <c r="C64" s="192" t="s">
        <v>1132</v>
      </c>
      <c r="D64" s="192" t="s">
        <v>997</v>
      </c>
      <c r="E64" s="192" t="s">
        <v>998</v>
      </c>
      <c r="F64" s="192" t="s">
        <v>1133</v>
      </c>
      <c r="G64" s="193">
        <v>46129</v>
      </c>
      <c r="H64" s="192" t="s">
        <v>1000</v>
      </c>
      <c r="I64" s="192" t="s">
        <v>1134</v>
      </c>
      <c r="J64" s="192" t="s">
        <v>1135</v>
      </c>
      <c r="K64" s="192" t="s">
        <v>13</v>
      </c>
      <c r="L64" s="192">
        <v>20</v>
      </c>
      <c r="M64" s="193">
        <v>46178</v>
      </c>
      <c r="N64" s="192">
        <v>20</v>
      </c>
      <c r="O64" s="192">
        <v>20</v>
      </c>
      <c r="P64" s="192">
        <v>20</v>
      </c>
      <c r="Q64" s="192">
        <v>20</v>
      </c>
      <c r="R64" s="192">
        <v>20</v>
      </c>
      <c r="S64" s="192">
        <v>20</v>
      </c>
      <c r="T64" s="192">
        <v>20</v>
      </c>
      <c r="U64" s="192">
        <f t="shared" si="11"/>
        <v>0</v>
      </c>
      <c r="V64" s="192">
        <v>20</v>
      </c>
      <c r="W64" s="192">
        <f t="shared" si="12"/>
        <v>0</v>
      </c>
      <c r="X64" s="194">
        <f t="shared" si="13"/>
        <v>0</v>
      </c>
      <c r="Y64" s="194">
        <f t="shared" si="14"/>
        <v>0</v>
      </c>
      <c r="Z64" s="194">
        <f t="shared" si="15"/>
        <v>0</v>
      </c>
      <c r="AA64" s="194">
        <f t="shared" si="16"/>
        <v>0</v>
      </c>
      <c r="AB64" s="194">
        <f t="shared" si="17"/>
        <v>0</v>
      </c>
      <c r="AC64" s="194">
        <f t="shared" si="18"/>
        <v>0</v>
      </c>
      <c r="AD64" s="194">
        <f t="shared" si="19"/>
        <v>0</v>
      </c>
      <c r="AE64" s="194">
        <f t="shared" si="20"/>
        <v>0</v>
      </c>
      <c r="AF64" s="194">
        <v>0</v>
      </c>
      <c r="AG64" s="194">
        <v>0</v>
      </c>
      <c r="AH64" s="194">
        <v>0</v>
      </c>
      <c r="AI64" s="194">
        <v>0</v>
      </c>
      <c r="AJ64" s="194">
        <v>0</v>
      </c>
      <c r="AK64" s="194">
        <f t="shared" si="21"/>
        <v>0</v>
      </c>
    </row>
    <row r="65" spans="1:37" ht="15" customHeight="1" x14ac:dyDescent="0.25">
      <c r="A65" s="192" t="s">
        <v>1131</v>
      </c>
      <c r="B65" s="192" t="s">
        <v>533</v>
      </c>
      <c r="C65" s="192" t="s">
        <v>1132</v>
      </c>
      <c r="D65" s="192" t="s">
        <v>997</v>
      </c>
      <c r="E65" s="192" t="s">
        <v>998</v>
      </c>
      <c r="F65" s="192" t="s">
        <v>1133</v>
      </c>
      <c r="G65" s="193">
        <v>46129</v>
      </c>
      <c r="H65" s="192" t="s">
        <v>1000</v>
      </c>
      <c r="I65" s="192" t="s">
        <v>1136</v>
      </c>
      <c r="J65" s="192" t="s">
        <v>1137</v>
      </c>
      <c r="K65" s="192" t="s">
        <v>13</v>
      </c>
      <c r="L65" s="192">
        <v>24</v>
      </c>
      <c r="M65" s="193">
        <v>46178</v>
      </c>
      <c r="N65" s="192">
        <v>24</v>
      </c>
      <c r="O65" s="192">
        <v>24</v>
      </c>
      <c r="P65" s="192">
        <v>24</v>
      </c>
      <c r="Q65" s="192">
        <v>24</v>
      </c>
      <c r="R65" s="192">
        <v>24</v>
      </c>
      <c r="S65" s="192">
        <v>24</v>
      </c>
      <c r="T65" s="192">
        <v>24</v>
      </c>
      <c r="U65" s="192">
        <f t="shared" si="11"/>
        <v>0</v>
      </c>
      <c r="V65" s="192">
        <v>24</v>
      </c>
      <c r="W65" s="192">
        <f t="shared" si="12"/>
        <v>0</v>
      </c>
      <c r="X65" s="194">
        <f t="shared" si="13"/>
        <v>0</v>
      </c>
      <c r="Y65" s="194">
        <f t="shared" si="14"/>
        <v>0</v>
      </c>
      <c r="Z65" s="194">
        <f t="shared" si="15"/>
        <v>0</v>
      </c>
      <c r="AA65" s="194">
        <f t="shared" si="16"/>
        <v>0</v>
      </c>
      <c r="AB65" s="194">
        <f t="shared" si="17"/>
        <v>0</v>
      </c>
      <c r="AC65" s="194">
        <f t="shared" si="18"/>
        <v>0</v>
      </c>
      <c r="AD65" s="194">
        <f t="shared" si="19"/>
        <v>0</v>
      </c>
      <c r="AE65" s="194">
        <f t="shared" si="20"/>
        <v>0</v>
      </c>
      <c r="AF65" s="194">
        <v>0</v>
      </c>
      <c r="AG65" s="194">
        <v>0</v>
      </c>
      <c r="AH65" s="194">
        <v>0</v>
      </c>
      <c r="AI65" s="194">
        <v>0</v>
      </c>
      <c r="AJ65" s="194">
        <v>0</v>
      </c>
      <c r="AK65" s="194">
        <f t="shared" si="21"/>
        <v>0</v>
      </c>
    </row>
    <row r="66" spans="1:37" ht="15" customHeight="1" x14ac:dyDescent="0.25">
      <c r="A66" s="192" t="s">
        <v>1131</v>
      </c>
      <c r="B66" s="192" t="s">
        <v>533</v>
      </c>
      <c r="C66" s="192" t="s">
        <v>1132</v>
      </c>
      <c r="D66" s="192" t="s">
        <v>997</v>
      </c>
      <c r="E66" s="192" t="s">
        <v>998</v>
      </c>
      <c r="F66" s="192" t="s">
        <v>1133</v>
      </c>
      <c r="G66" s="193">
        <v>46129</v>
      </c>
      <c r="H66" s="192" t="s">
        <v>1000</v>
      </c>
      <c r="I66" s="192" t="s">
        <v>1138</v>
      </c>
      <c r="J66" s="192" t="s">
        <v>1139</v>
      </c>
      <c r="K66" s="192" t="s">
        <v>13</v>
      </c>
      <c r="L66" s="192">
        <v>20</v>
      </c>
      <c r="M66" s="193">
        <v>46178</v>
      </c>
      <c r="N66" s="192">
        <v>20</v>
      </c>
      <c r="O66" s="192">
        <v>20</v>
      </c>
      <c r="P66" s="192">
        <v>20</v>
      </c>
      <c r="Q66" s="192">
        <v>20</v>
      </c>
      <c r="R66" s="192">
        <v>20</v>
      </c>
      <c r="S66" s="192">
        <v>20</v>
      </c>
      <c r="T66" s="192">
        <v>20</v>
      </c>
      <c r="U66" s="192">
        <f t="shared" ref="U66:U97" si="22">L66-T66</f>
        <v>0</v>
      </c>
      <c r="V66" s="192">
        <v>20</v>
      </c>
      <c r="W66" s="192">
        <f t="shared" ref="W66:W97" si="23">T66-V66</f>
        <v>0</v>
      </c>
      <c r="X66" s="194">
        <f t="shared" ref="X66:X97" si="24">IF(N66-O66&gt;0,1,0)</f>
        <v>0</v>
      </c>
      <c r="Y66" s="194">
        <f t="shared" ref="Y66:Y97" si="25">IF(O66-P66&gt;0,1,0)</f>
        <v>0</v>
      </c>
      <c r="Z66" s="194">
        <f t="shared" ref="Z66:Z97" si="26">IF(P66-Q66&gt;0,1,0)</f>
        <v>0</v>
      </c>
      <c r="AA66" s="194">
        <f t="shared" ref="AA66:AA97" si="27">IF(Q66-R66&gt;0,1,0)</f>
        <v>0</v>
      </c>
      <c r="AB66" s="194">
        <f t="shared" ref="AB66:AB97" si="28">IF(R66-S66&gt;0,1,0)</f>
        <v>0</v>
      </c>
      <c r="AC66" s="194">
        <f t="shared" ref="AC66:AC97" si="29">IF(S66-T66&gt;0,1,0)</f>
        <v>0</v>
      </c>
      <c r="AD66" s="194">
        <f t="shared" ref="AD66:AD97" si="30">IF(L66-V66&gt;0,1,0)</f>
        <v>0</v>
      </c>
      <c r="AE66" s="194">
        <f t="shared" ref="AE66:AE97" si="31">IF(L66-T66&gt;0,1,0)</f>
        <v>0</v>
      </c>
      <c r="AF66" s="194">
        <v>0</v>
      </c>
      <c r="AG66" s="194">
        <v>0</v>
      </c>
      <c r="AH66" s="194">
        <v>0</v>
      </c>
      <c r="AI66" s="194">
        <v>0</v>
      </c>
      <c r="AJ66" s="194">
        <v>0</v>
      </c>
      <c r="AK66" s="194">
        <f t="shared" ref="AK66:AK97" si="32">IF(T66-V66&gt;0,1,0)</f>
        <v>0</v>
      </c>
    </row>
    <row r="67" spans="1:37" ht="15" customHeight="1" x14ac:dyDescent="0.25">
      <c r="A67" s="192" t="s">
        <v>1131</v>
      </c>
      <c r="B67" s="192" t="s">
        <v>533</v>
      </c>
      <c r="C67" s="192" t="s">
        <v>1132</v>
      </c>
      <c r="D67" s="192" t="s">
        <v>997</v>
      </c>
      <c r="E67" s="192" t="s">
        <v>998</v>
      </c>
      <c r="F67" s="192" t="s">
        <v>1133</v>
      </c>
      <c r="G67" s="193">
        <v>46129</v>
      </c>
      <c r="H67" s="192" t="s">
        <v>1000</v>
      </c>
      <c r="I67" s="192" t="s">
        <v>1118</v>
      </c>
      <c r="J67" s="192" t="s">
        <v>1119</v>
      </c>
      <c r="K67" s="192" t="s">
        <v>13</v>
      </c>
      <c r="L67" s="192">
        <v>6</v>
      </c>
      <c r="M67" s="193">
        <v>46178</v>
      </c>
      <c r="N67" s="192">
        <v>6</v>
      </c>
      <c r="O67" s="192">
        <v>6</v>
      </c>
      <c r="P67" s="192">
        <v>6</v>
      </c>
      <c r="Q67" s="192">
        <v>6</v>
      </c>
      <c r="R67" s="192">
        <v>6</v>
      </c>
      <c r="S67" s="192">
        <v>6</v>
      </c>
      <c r="T67" s="192">
        <v>6</v>
      </c>
      <c r="U67" s="192">
        <f t="shared" si="22"/>
        <v>0</v>
      </c>
      <c r="V67" s="192">
        <v>6</v>
      </c>
      <c r="W67" s="192">
        <f t="shared" si="23"/>
        <v>0</v>
      </c>
      <c r="X67" s="194">
        <f t="shared" si="24"/>
        <v>0</v>
      </c>
      <c r="Y67" s="194">
        <f t="shared" si="25"/>
        <v>0</v>
      </c>
      <c r="Z67" s="194">
        <f t="shared" si="26"/>
        <v>0</v>
      </c>
      <c r="AA67" s="194">
        <f t="shared" si="27"/>
        <v>0</v>
      </c>
      <c r="AB67" s="194">
        <f t="shared" si="28"/>
        <v>0</v>
      </c>
      <c r="AC67" s="194">
        <f t="shared" si="29"/>
        <v>0</v>
      </c>
      <c r="AD67" s="194">
        <f t="shared" si="30"/>
        <v>0</v>
      </c>
      <c r="AE67" s="194">
        <f t="shared" si="31"/>
        <v>0</v>
      </c>
      <c r="AF67" s="194">
        <v>0</v>
      </c>
      <c r="AG67" s="194">
        <v>0</v>
      </c>
      <c r="AH67" s="194">
        <v>0</v>
      </c>
      <c r="AI67" s="194">
        <v>0</v>
      </c>
      <c r="AJ67" s="194">
        <v>0</v>
      </c>
      <c r="AK67" s="194">
        <f t="shared" si="32"/>
        <v>0</v>
      </c>
    </row>
    <row r="68" spans="1:37" ht="15" customHeight="1" x14ac:dyDescent="0.25">
      <c r="A68" s="192" t="s">
        <v>1131</v>
      </c>
      <c r="B68" s="192" t="s">
        <v>533</v>
      </c>
      <c r="C68" s="192" t="s">
        <v>1132</v>
      </c>
      <c r="D68" s="192" t="s">
        <v>997</v>
      </c>
      <c r="E68" s="192" t="s">
        <v>998</v>
      </c>
      <c r="F68" s="192" t="s">
        <v>1133</v>
      </c>
      <c r="G68" s="193">
        <v>46129</v>
      </c>
      <c r="H68" s="192" t="s">
        <v>1000</v>
      </c>
      <c r="I68" s="192" t="s">
        <v>1140</v>
      </c>
      <c r="J68" s="192" t="s">
        <v>1141</v>
      </c>
      <c r="K68" s="192" t="s">
        <v>13</v>
      </c>
      <c r="L68" s="192">
        <v>6</v>
      </c>
      <c r="M68" s="193">
        <v>46178</v>
      </c>
      <c r="N68" s="192">
        <v>6</v>
      </c>
      <c r="O68" s="192">
        <v>6</v>
      </c>
      <c r="P68" s="192">
        <v>6</v>
      </c>
      <c r="Q68" s="192">
        <v>6</v>
      </c>
      <c r="R68" s="192">
        <v>6</v>
      </c>
      <c r="S68" s="192">
        <v>6</v>
      </c>
      <c r="T68" s="192">
        <v>6</v>
      </c>
      <c r="U68" s="192">
        <f t="shared" si="22"/>
        <v>0</v>
      </c>
      <c r="V68" s="192">
        <v>6</v>
      </c>
      <c r="W68" s="192">
        <f t="shared" si="23"/>
        <v>0</v>
      </c>
      <c r="X68" s="194">
        <f t="shared" si="24"/>
        <v>0</v>
      </c>
      <c r="Y68" s="194">
        <f t="shared" si="25"/>
        <v>0</v>
      </c>
      <c r="Z68" s="194">
        <f t="shared" si="26"/>
        <v>0</v>
      </c>
      <c r="AA68" s="194">
        <f t="shared" si="27"/>
        <v>0</v>
      </c>
      <c r="AB68" s="194">
        <f t="shared" si="28"/>
        <v>0</v>
      </c>
      <c r="AC68" s="194">
        <f t="shared" si="29"/>
        <v>0</v>
      </c>
      <c r="AD68" s="194">
        <f t="shared" si="30"/>
        <v>0</v>
      </c>
      <c r="AE68" s="194">
        <f t="shared" si="31"/>
        <v>0</v>
      </c>
      <c r="AF68" s="194">
        <v>0</v>
      </c>
      <c r="AG68" s="194">
        <v>0</v>
      </c>
      <c r="AH68" s="194">
        <v>0</v>
      </c>
      <c r="AI68" s="194">
        <v>0</v>
      </c>
      <c r="AJ68" s="194">
        <v>0</v>
      </c>
      <c r="AK68" s="194">
        <f t="shared" si="32"/>
        <v>0</v>
      </c>
    </row>
    <row r="69" spans="1:37" ht="15" customHeight="1" x14ac:dyDescent="0.25">
      <c r="A69" s="192" t="s">
        <v>1131</v>
      </c>
      <c r="B69" s="192" t="s">
        <v>533</v>
      </c>
      <c r="C69" s="192" t="s">
        <v>1132</v>
      </c>
      <c r="D69" s="192" t="s">
        <v>997</v>
      </c>
      <c r="E69" s="192" t="s">
        <v>998</v>
      </c>
      <c r="F69" s="192" t="s">
        <v>1133</v>
      </c>
      <c r="G69" s="193">
        <v>46129</v>
      </c>
      <c r="H69" s="192" t="s">
        <v>1000</v>
      </c>
      <c r="I69" s="192" t="s">
        <v>1142</v>
      </c>
      <c r="J69" s="192" t="s">
        <v>1143</v>
      </c>
      <c r="K69" s="192" t="s">
        <v>13</v>
      </c>
      <c r="L69" s="192">
        <v>6</v>
      </c>
      <c r="M69" s="193">
        <v>46178</v>
      </c>
      <c r="N69" s="192">
        <v>6</v>
      </c>
      <c r="O69" s="192">
        <v>6</v>
      </c>
      <c r="P69" s="192">
        <v>6</v>
      </c>
      <c r="Q69" s="192">
        <v>6</v>
      </c>
      <c r="R69" s="192">
        <v>6</v>
      </c>
      <c r="S69" s="192">
        <v>6</v>
      </c>
      <c r="T69" s="192">
        <v>6</v>
      </c>
      <c r="U69" s="192">
        <f t="shared" si="22"/>
        <v>0</v>
      </c>
      <c r="V69" s="192">
        <v>6</v>
      </c>
      <c r="W69" s="192">
        <f t="shared" si="23"/>
        <v>0</v>
      </c>
      <c r="X69" s="194">
        <f t="shared" si="24"/>
        <v>0</v>
      </c>
      <c r="Y69" s="194">
        <f t="shared" si="25"/>
        <v>0</v>
      </c>
      <c r="Z69" s="194">
        <f t="shared" si="26"/>
        <v>0</v>
      </c>
      <c r="AA69" s="194">
        <f t="shared" si="27"/>
        <v>0</v>
      </c>
      <c r="AB69" s="194">
        <f t="shared" si="28"/>
        <v>0</v>
      </c>
      <c r="AC69" s="194">
        <f t="shared" si="29"/>
        <v>0</v>
      </c>
      <c r="AD69" s="194">
        <f t="shared" si="30"/>
        <v>0</v>
      </c>
      <c r="AE69" s="194">
        <f t="shared" si="31"/>
        <v>0</v>
      </c>
      <c r="AF69" s="194">
        <v>0</v>
      </c>
      <c r="AG69" s="194">
        <v>0</v>
      </c>
      <c r="AH69" s="194">
        <v>0</v>
      </c>
      <c r="AI69" s="194">
        <v>0</v>
      </c>
      <c r="AJ69" s="194">
        <v>0</v>
      </c>
      <c r="AK69" s="194">
        <f t="shared" si="32"/>
        <v>0</v>
      </c>
    </row>
    <row r="70" spans="1:37" ht="15" customHeight="1" x14ac:dyDescent="0.25">
      <c r="A70" s="192" t="s">
        <v>1131</v>
      </c>
      <c r="B70" s="192" t="s">
        <v>533</v>
      </c>
      <c r="C70" s="192" t="s">
        <v>1132</v>
      </c>
      <c r="D70" s="192" t="s">
        <v>997</v>
      </c>
      <c r="E70" s="192" t="s">
        <v>998</v>
      </c>
      <c r="F70" s="192" t="s">
        <v>1133</v>
      </c>
      <c r="G70" s="193">
        <v>46129</v>
      </c>
      <c r="H70" s="192" t="s">
        <v>1000</v>
      </c>
      <c r="I70" s="192" t="s">
        <v>1144</v>
      </c>
      <c r="J70" s="192" t="s">
        <v>1145</v>
      </c>
      <c r="K70" s="192" t="s">
        <v>13</v>
      </c>
      <c r="L70" s="192">
        <v>8</v>
      </c>
      <c r="M70" s="193">
        <v>46178</v>
      </c>
      <c r="N70" s="192">
        <v>8</v>
      </c>
      <c r="O70" s="192">
        <v>8</v>
      </c>
      <c r="P70" s="192">
        <v>8</v>
      </c>
      <c r="Q70" s="192">
        <v>8</v>
      </c>
      <c r="R70" s="192">
        <v>8</v>
      </c>
      <c r="S70" s="192">
        <v>8</v>
      </c>
      <c r="T70" s="192">
        <v>8</v>
      </c>
      <c r="U70" s="192">
        <f t="shared" si="22"/>
        <v>0</v>
      </c>
      <c r="V70" s="192">
        <v>8</v>
      </c>
      <c r="W70" s="192">
        <f t="shared" si="23"/>
        <v>0</v>
      </c>
      <c r="X70" s="194">
        <f t="shared" si="24"/>
        <v>0</v>
      </c>
      <c r="Y70" s="194">
        <f t="shared" si="25"/>
        <v>0</v>
      </c>
      <c r="Z70" s="194">
        <f t="shared" si="26"/>
        <v>0</v>
      </c>
      <c r="AA70" s="194">
        <f t="shared" si="27"/>
        <v>0</v>
      </c>
      <c r="AB70" s="194">
        <f t="shared" si="28"/>
        <v>0</v>
      </c>
      <c r="AC70" s="194">
        <f t="shared" si="29"/>
        <v>0</v>
      </c>
      <c r="AD70" s="194">
        <f t="shared" si="30"/>
        <v>0</v>
      </c>
      <c r="AE70" s="194">
        <f t="shared" si="31"/>
        <v>0</v>
      </c>
      <c r="AF70" s="194">
        <v>0</v>
      </c>
      <c r="AG70" s="194">
        <v>0</v>
      </c>
      <c r="AH70" s="194">
        <v>0</v>
      </c>
      <c r="AI70" s="194">
        <v>0</v>
      </c>
      <c r="AJ70" s="194">
        <v>0</v>
      </c>
      <c r="AK70" s="194">
        <f t="shared" si="32"/>
        <v>0</v>
      </c>
    </row>
    <row r="71" spans="1:37" ht="15" customHeight="1" x14ac:dyDescent="0.25">
      <c r="A71" s="192" t="s">
        <v>1131</v>
      </c>
      <c r="B71" s="192" t="s">
        <v>533</v>
      </c>
      <c r="C71" s="192" t="s">
        <v>1132</v>
      </c>
      <c r="D71" s="192" t="s">
        <v>997</v>
      </c>
      <c r="E71" s="192" t="s">
        <v>998</v>
      </c>
      <c r="F71" s="192" t="s">
        <v>1133</v>
      </c>
      <c r="G71" s="193">
        <v>46129</v>
      </c>
      <c r="H71" s="192" t="s">
        <v>1000</v>
      </c>
      <c r="I71" s="192" t="s">
        <v>1146</v>
      </c>
      <c r="J71" s="192" t="s">
        <v>1147</v>
      </c>
      <c r="K71" s="192" t="s">
        <v>13</v>
      </c>
      <c r="L71" s="192">
        <v>18</v>
      </c>
      <c r="M71" s="193">
        <v>46178</v>
      </c>
      <c r="N71" s="192">
        <v>18</v>
      </c>
      <c r="O71" s="192">
        <v>18</v>
      </c>
      <c r="P71" s="192">
        <v>18</v>
      </c>
      <c r="Q71" s="192">
        <v>18</v>
      </c>
      <c r="R71" s="192">
        <v>18</v>
      </c>
      <c r="S71" s="192">
        <v>18</v>
      </c>
      <c r="T71" s="192">
        <v>18</v>
      </c>
      <c r="U71" s="192">
        <f t="shared" si="22"/>
        <v>0</v>
      </c>
      <c r="V71" s="192">
        <v>18</v>
      </c>
      <c r="W71" s="192">
        <f t="shared" si="23"/>
        <v>0</v>
      </c>
      <c r="X71" s="194">
        <f t="shared" si="24"/>
        <v>0</v>
      </c>
      <c r="Y71" s="194">
        <f t="shared" si="25"/>
        <v>0</v>
      </c>
      <c r="Z71" s="194">
        <f t="shared" si="26"/>
        <v>0</v>
      </c>
      <c r="AA71" s="194">
        <f t="shared" si="27"/>
        <v>0</v>
      </c>
      <c r="AB71" s="194">
        <f t="shared" si="28"/>
        <v>0</v>
      </c>
      <c r="AC71" s="194">
        <f t="shared" si="29"/>
        <v>0</v>
      </c>
      <c r="AD71" s="194">
        <f t="shared" si="30"/>
        <v>0</v>
      </c>
      <c r="AE71" s="194">
        <f t="shared" si="31"/>
        <v>0</v>
      </c>
      <c r="AF71" s="194">
        <v>0</v>
      </c>
      <c r="AG71" s="194">
        <v>0</v>
      </c>
      <c r="AH71" s="194">
        <v>0</v>
      </c>
      <c r="AI71" s="194">
        <v>0</v>
      </c>
      <c r="AJ71" s="194">
        <v>0</v>
      </c>
      <c r="AK71" s="194">
        <f t="shared" si="32"/>
        <v>0</v>
      </c>
    </row>
    <row r="72" spans="1:37" ht="15" customHeight="1" x14ac:dyDescent="0.25">
      <c r="A72" s="192" t="s">
        <v>1131</v>
      </c>
      <c r="B72" s="192" t="s">
        <v>533</v>
      </c>
      <c r="C72" s="192" t="s">
        <v>1132</v>
      </c>
      <c r="D72" s="192" t="s">
        <v>997</v>
      </c>
      <c r="E72" s="192" t="s">
        <v>998</v>
      </c>
      <c r="F72" s="192" t="s">
        <v>1133</v>
      </c>
      <c r="G72" s="193">
        <v>46129</v>
      </c>
      <c r="H72" s="192" t="s">
        <v>1000</v>
      </c>
      <c r="I72" s="192" t="s">
        <v>1148</v>
      </c>
      <c r="J72" s="192" t="s">
        <v>1149</v>
      </c>
      <c r="K72" s="192" t="s">
        <v>13</v>
      </c>
      <c r="L72" s="192">
        <v>24</v>
      </c>
      <c r="M72" s="193">
        <v>46178</v>
      </c>
      <c r="N72" s="192">
        <v>24</v>
      </c>
      <c r="O72" s="192">
        <v>24</v>
      </c>
      <c r="P72" s="192">
        <v>24</v>
      </c>
      <c r="Q72" s="192">
        <v>24</v>
      </c>
      <c r="R72" s="192">
        <v>24</v>
      </c>
      <c r="S72" s="192">
        <v>24</v>
      </c>
      <c r="T72" s="192">
        <v>24</v>
      </c>
      <c r="U72" s="192">
        <f t="shared" si="22"/>
        <v>0</v>
      </c>
      <c r="V72" s="192">
        <v>24</v>
      </c>
      <c r="W72" s="192">
        <f t="shared" si="23"/>
        <v>0</v>
      </c>
      <c r="X72" s="194">
        <f t="shared" si="24"/>
        <v>0</v>
      </c>
      <c r="Y72" s="194">
        <f t="shared" si="25"/>
        <v>0</v>
      </c>
      <c r="Z72" s="194">
        <f t="shared" si="26"/>
        <v>0</v>
      </c>
      <c r="AA72" s="194">
        <f t="shared" si="27"/>
        <v>0</v>
      </c>
      <c r="AB72" s="194">
        <f t="shared" si="28"/>
        <v>0</v>
      </c>
      <c r="AC72" s="194">
        <f t="shared" si="29"/>
        <v>0</v>
      </c>
      <c r="AD72" s="194">
        <f t="shared" si="30"/>
        <v>0</v>
      </c>
      <c r="AE72" s="194">
        <f t="shared" si="31"/>
        <v>0</v>
      </c>
      <c r="AF72" s="194">
        <v>0</v>
      </c>
      <c r="AG72" s="194">
        <v>0</v>
      </c>
      <c r="AH72" s="194">
        <v>0</v>
      </c>
      <c r="AI72" s="194">
        <v>0</v>
      </c>
      <c r="AJ72" s="194">
        <v>0</v>
      </c>
      <c r="AK72" s="194">
        <f t="shared" si="32"/>
        <v>0</v>
      </c>
    </row>
    <row r="73" spans="1:37" ht="15" customHeight="1" x14ac:dyDescent="0.25">
      <c r="A73" s="192" t="s">
        <v>1131</v>
      </c>
      <c r="B73" s="192" t="s">
        <v>533</v>
      </c>
      <c r="C73" s="192" t="s">
        <v>1132</v>
      </c>
      <c r="D73" s="192" t="s">
        <v>997</v>
      </c>
      <c r="E73" s="192" t="s">
        <v>998</v>
      </c>
      <c r="F73" s="192" t="s">
        <v>1133</v>
      </c>
      <c r="G73" s="193">
        <v>46129</v>
      </c>
      <c r="H73" s="192" t="s">
        <v>1000</v>
      </c>
      <c r="I73" s="192" t="s">
        <v>1049</v>
      </c>
      <c r="J73" s="192" t="s">
        <v>1050</v>
      </c>
      <c r="K73" s="192" t="s">
        <v>13</v>
      </c>
      <c r="L73" s="192">
        <v>8</v>
      </c>
      <c r="M73" s="193">
        <v>46178</v>
      </c>
      <c r="N73" s="192">
        <v>8</v>
      </c>
      <c r="O73" s="192">
        <v>8</v>
      </c>
      <c r="P73" s="192">
        <v>8</v>
      </c>
      <c r="Q73" s="192">
        <v>8</v>
      </c>
      <c r="R73" s="192">
        <v>8</v>
      </c>
      <c r="S73" s="192">
        <v>8</v>
      </c>
      <c r="T73" s="192">
        <v>8</v>
      </c>
      <c r="U73" s="192">
        <f t="shared" si="22"/>
        <v>0</v>
      </c>
      <c r="V73" s="192">
        <v>8</v>
      </c>
      <c r="W73" s="192">
        <f t="shared" si="23"/>
        <v>0</v>
      </c>
      <c r="X73" s="194">
        <f t="shared" si="24"/>
        <v>0</v>
      </c>
      <c r="Y73" s="194">
        <f t="shared" si="25"/>
        <v>0</v>
      </c>
      <c r="Z73" s="194">
        <f t="shared" si="26"/>
        <v>0</v>
      </c>
      <c r="AA73" s="194">
        <f t="shared" si="27"/>
        <v>0</v>
      </c>
      <c r="AB73" s="194">
        <f t="shared" si="28"/>
        <v>0</v>
      </c>
      <c r="AC73" s="194">
        <f t="shared" si="29"/>
        <v>0</v>
      </c>
      <c r="AD73" s="194">
        <f t="shared" si="30"/>
        <v>0</v>
      </c>
      <c r="AE73" s="194">
        <f t="shared" si="31"/>
        <v>0</v>
      </c>
      <c r="AF73" s="194">
        <v>0</v>
      </c>
      <c r="AG73" s="194">
        <v>0</v>
      </c>
      <c r="AH73" s="194">
        <v>0</v>
      </c>
      <c r="AI73" s="194">
        <v>0</v>
      </c>
      <c r="AJ73" s="194">
        <v>0</v>
      </c>
      <c r="AK73" s="194">
        <f t="shared" si="32"/>
        <v>0</v>
      </c>
    </row>
    <row r="74" spans="1:37" ht="15" customHeight="1" x14ac:dyDescent="0.25">
      <c r="A74" s="192" t="s">
        <v>1131</v>
      </c>
      <c r="B74" s="192" t="s">
        <v>533</v>
      </c>
      <c r="C74" s="192" t="s">
        <v>1132</v>
      </c>
      <c r="D74" s="192" t="s">
        <v>997</v>
      </c>
      <c r="E74" s="192" t="s">
        <v>998</v>
      </c>
      <c r="F74" s="192" t="s">
        <v>1133</v>
      </c>
      <c r="G74" s="193">
        <v>46129</v>
      </c>
      <c r="H74" s="192" t="s">
        <v>1000</v>
      </c>
      <c r="I74" s="192" t="s">
        <v>1129</v>
      </c>
      <c r="J74" s="192" t="s">
        <v>1130</v>
      </c>
      <c r="K74" s="192" t="s">
        <v>13</v>
      </c>
      <c r="L74" s="192">
        <v>6</v>
      </c>
      <c r="M74" s="193">
        <v>46178</v>
      </c>
      <c r="N74" s="192">
        <v>6</v>
      </c>
      <c r="O74" s="192">
        <v>6</v>
      </c>
      <c r="P74" s="192">
        <v>6</v>
      </c>
      <c r="Q74" s="192">
        <v>6</v>
      </c>
      <c r="R74" s="192">
        <v>6</v>
      </c>
      <c r="S74" s="192">
        <v>6</v>
      </c>
      <c r="T74" s="192">
        <v>6</v>
      </c>
      <c r="U74" s="192">
        <f t="shared" si="22"/>
        <v>0</v>
      </c>
      <c r="V74" s="192">
        <v>6</v>
      </c>
      <c r="W74" s="192">
        <f t="shared" si="23"/>
        <v>0</v>
      </c>
      <c r="X74" s="194">
        <f t="shared" si="24"/>
        <v>0</v>
      </c>
      <c r="Y74" s="194">
        <f t="shared" si="25"/>
        <v>0</v>
      </c>
      <c r="Z74" s="194">
        <f t="shared" si="26"/>
        <v>0</v>
      </c>
      <c r="AA74" s="194">
        <f t="shared" si="27"/>
        <v>0</v>
      </c>
      <c r="AB74" s="194">
        <f t="shared" si="28"/>
        <v>0</v>
      </c>
      <c r="AC74" s="194">
        <f t="shared" si="29"/>
        <v>0</v>
      </c>
      <c r="AD74" s="194">
        <f t="shared" si="30"/>
        <v>0</v>
      </c>
      <c r="AE74" s="194">
        <f t="shared" si="31"/>
        <v>0</v>
      </c>
      <c r="AF74" s="194">
        <v>0</v>
      </c>
      <c r="AG74" s="194">
        <v>0</v>
      </c>
      <c r="AH74" s="194">
        <v>0</v>
      </c>
      <c r="AI74" s="194">
        <v>0</v>
      </c>
      <c r="AJ74" s="194">
        <v>0</v>
      </c>
      <c r="AK74" s="194">
        <f t="shared" si="32"/>
        <v>0</v>
      </c>
    </row>
    <row r="75" spans="1:37" ht="15" customHeight="1" x14ac:dyDescent="0.25">
      <c r="A75" s="192" t="s">
        <v>1131</v>
      </c>
      <c r="B75" s="192" t="s">
        <v>533</v>
      </c>
      <c r="C75" s="192" t="s">
        <v>1132</v>
      </c>
      <c r="D75" s="192" t="s">
        <v>997</v>
      </c>
      <c r="E75" s="192" t="s">
        <v>998</v>
      </c>
      <c r="F75" s="192" t="s">
        <v>1133</v>
      </c>
      <c r="G75" s="193">
        <v>46129</v>
      </c>
      <c r="H75" s="192" t="s">
        <v>1000</v>
      </c>
      <c r="I75" s="192" t="s">
        <v>1150</v>
      </c>
      <c r="J75" s="192" t="s">
        <v>1151</v>
      </c>
      <c r="K75" s="192" t="s">
        <v>13</v>
      </c>
      <c r="L75" s="192">
        <v>6</v>
      </c>
      <c r="M75" s="193">
        <v>46178</v>
      </c>
      <c r="N75" s="192">
        <v>6</v>
      </c>
      <c r="O75" s="192">
        <v>6</v>
      </c>
      <c r="P75" s="192">
        <v>6</v>
      </c>
      <c r="Q75" s="192">
        <v>6</v>
      </c>
      <c r="R75" s="192">
        <v>6</v>
      </c>
      <c r="S75" s="192">
        <v>6</v>
      </c>
      <c r="T75" s="192">
        <v>6</v>
      </c>
      <c r="U75" s="192">
        <f t="shared" si="22"/>
        <v>0</v>
      </c>
      <c r="V75" s="192">
        <v>6</v>
      </c>
      <c r="W75" s="192">
        <f t="shared" si="23"/>
        <v>0</v>
      </c>
      <c r="X75" s="194">
        <f t="shared" si="24"/>
        <v>0</v>
      </c>
      <c r="Y75" s="194">
        <f t="shared" si="25"/>
        <v>0</v>
      </c>
      <c r="Z75" s="194">
        <f t="shared" si="26"/>
        <v>0</v>
      </c>
      <c r="AA75" s="194">
        <f t="shared" si="27"/>
        <v>0</v>
      </c>
      <c r="AB75" s="194">
        <f t="shared" si="28"/>
        <v>0</v>
      </c>
      <c r="AC75" s="194">
        <f t="shared" si="29"/>
        <v>0</v>
      </c>
      <c r="AD75" s="194">
        <f t="shared" si="30"/>
        <v>0</v>
      </c>
      <c r="AE75" s="194">
        <f t="shared" si="31"/>
        <v>0</v>
      </c>
      <c r="AF75" s="194">
        <v>0</v>
      </c>
      <c r="AG75" s="194">
        <v>0</v>
      </c>
      <c r="AH75" s="194">
        <v>0</v>
      </c>
      <c r="AI75" s="194">
        <v>0</v>
      </c>
      <c r="AJ75" s="194">
        <v>0</v>
      </c>
      <c r="AK75" s="194">
        <f t="shared" si="32"/>
        <v>0</v>
      </c>
    </row>
    <row r="76" spans="1:37" ht="15" customHeight="1" x14ac:dyDescent="0.25">
      <c r="A76" s="192" t="s">
        <v>1152</v>
      </c>
      <c r="B76" s="192" t="s">
        <v>739</v>
      </c>
      <c r="C76" s="192" t="s">
        <v>837</v>
      </c>
      <c r="D76" s="192" t="s">
        <v>997</v>
      </c>
      <c r="E76" s="192" t="s">
        <v>998</v>
      </c>
      <c r="F76" s="192" t="s">
        <v>1153</v>
      </c>
      <c r="G76" s="193">
        <v>46132</v>
      </c>
      <c r="H76" s="192" t="s">
        <v>1000</v>
      </c>
      <c r="I76" s="192" t="s">
        <v>1040</v>
      </c>
      <c r="J76" s="192" t="s">
        <v>1041</v>
      </c>
      <c r="K76" s="192" t="s">
        <v>15</v>
      </c>
      <c r="L76" s="192">
        <v>200</v>
      </c>
      <c r="M76" s="193">
        <v>46178</v>
      </c>
      <c r="N76" s="192">
        <v>200</v>
      </c>
      <c r="O76" s="192">
        <v>200</v>
      </c>
      <c r="P76" s="192">
        <v>200</v>
      </c>
      <c r="Q76" s="192">
        <v>200</v>
      </c>
      <c r="R76" s="192">
        <v>200</v>
      </c>
      <c r="S76" s="192">
        <v>200</v>
      </c>
      <c r="T76" s="192">
        <v>200</v>
      </c>
      <c r="U76" s="192">
        <f t="shared" si="22"/>
        <v>0</v>
      </c>
      <c r="V76" s="192">
        <v>200</v>
      </c>
      <c r="W76" s="192">
        <f t="shared" si="23"/>
        <v>0</v>
      </c>
      <c r="X76" s="194">
        <f t="shared" si="24"/>
        <v>0</v>
      </c>
      <c r="Y76" s="194">
        <f t="shared" si="25"/>
        <v>0</v>
      </c>
      <c r="Z76" s="194">
        <f t="shared" si="26"/>
        <v>0</v>
      </c>
      <c r="AA76" s="194">
        <f t="shared" si="27"/>
        <v>0</v>
      </c>
      <c r="AB76" s="194">
        <f t="shared" si="28"/>
        <v>0</v>
      </c>
      <c r="AC76" s="194">
        <f t="shared" si="29"/>
        <v>0</v>
      </c>
      <c r="AD76" s="194">
        <f t="shared" si="30"/>
        <v>0</v>
      </c>
      <c r="AE76" s="194">
        <f t="shared" si="31"/>
        <v>0</v>
      </c>
      <c r="AF76" s="194">
        <v>0</v>
      </c>
      <c r="AG76" s="194">
        <v>0</v>
      </c>
      <c r="AH76" s="194">
        <v>0</v>
      </c>
      <c r="AI76" s="194">
        <v>0</v>
      </c>
      <c r="AJ76" s="194">
        <v>0</v>
      </c>
      <c r="AK76" s="194">
        <f t="shared" si="32"/>
        <v>0</v>
      </c>
    </row>
    <row r="77" spans="1:37" ht="15" customHeight="1" x14ac:dyDescent="0.25">
      <c r="A77" s="192" t="s">
        <v>1152</v>
      </c>
      <c r="B77" s="192" t="s">
        <v>739</v>
      </c>
      <c r="C77" s="192" t="s">
        <v>837</v>
      </c>
      <c r="D77" s="192" t="s">
        <v>997</v>
      </c>
      <c r="E77" s="192" t="s">
        <v>998</v>
      </c>
      <c r="F77" s="192" t="s">
        <v>1153</v>
      </c>
      <c r="G77" s="193">
        <v>46132</v>
      </c>
      <c r="H77" s="192" t="s">
        <v>1000</v>
      </c>
      <c r="I77" s="192" t="s">
        <v>1154</v>
      </c>
      <c r="J77" s="192" t="s">
        <v>1155</v>
      </c>
      <c r="K77" s="192" t="s">
        <v>13</v>
      </c>
      <c r="L77" s="192">
        <v>15</v>
      </c>
      <c r="M77" s="193">
        <v>46178</v>
      </c>
      <c r="N77" s="192">
        <v>15</v>
      </c>
      <c r="O77" s="192">
        <v>15</v>
      </c>
      <c r="P77" s="192">
        <v>15</v>
      </c>
      <c r="Q77" s="192">
        <v>15</v>
      </c>
      <c r="R77" s="192">
        <v>15</v>
      </c>
      <c r="S77" s="192">
        <v>15</v>
      </c>
      <c r="T77" s="192">
        <v>15</v>
      </c>
      <c r="U77" s="192">
        <f t="shared" si="22"/>
        <v>0</v>
      </c>
      <c r="V77" s="192">
        <v>15</v>
      </c>
      <c r="W77" s="192">
        <f t="shared" si="23"/>
        <v>0</v>
      </c>
      <c r="X77" s="194">
        <f t="shared" si="24"/>
        <v>0</v>
      </c>
      <c r="Y77" s="194">
        <f t="shared" si="25"/>
        <v>0</v>
      </c>
      <c r="Z77" s="194">
        <f t="shared" si="26"/>
        <v>0</v>
      </c>
      <c r="AA77" s="194">
        <f t="shared" si="27"/>
        <v>0</v>
      </c>
      <c r="AB77" s="194">
        <f t="shared" si="28"/>
        <v>0</v>
      </c>
      <c r="AC77" s="194">
        <f t="shared" si="29"/>
        <v>0</v>
      </c>
      <c r="AD77" s="194">
        <f t="shared" si="30"/>
        <v>0</v>
      </c>
      <c r="AE77" s="194">
        <f t="shared" si="31"/>
        <v>0</v>
      </c>
      <c r="AF77" s="194">
        <v>0</v>
      </c>
      <c r="AG77" s="194">
        <v>0</v>
      </c>
      <c r="AH77" s="194">
        <v>0</v>
      </c>
      <c r="AI77" s="194">
        <v>0</v>
      </c>
      <c r="AJ77" s="194">
        <v>0</v>
      </c>
      <c r="AK77" s="194">
        <f t="shared" si="32"/>
        <v>0</v>
      </c>
    </row>
    <row r="78" spans="1:37" ht="15" customHeight="1" x14ac:dyDescent="0.25">
      <c r="A78" s="192" t="s">
        <v>1152</v>
      </c>
      <c r="B78" s="192" t="s">
        <v>739</v>
      </c>
      <c r="C78" s="192" t="s">
        <v>837</v>
      </c>
      <c r="D78" s="192" t="s">
        <v>997</v>
      </c>
      <c r="E78" s="192" t="s">
        <v>998</v>
      </c>
      <c r="F78" s="192" t="s">
        <v>1153</v>
      </c>
      <c r="G78" s="193">
        <v>46132</v>
      </c>
      <c r="H78" s="192" t="s">
        <v>1000</v>
      </c>
      <c r="I78" s="192" t="s">
        <v>1156</v>
      </c>
      <c r="J78" s="192" t="s">
        <v>1157</v>
      </c>
      <c r="K78" s="192" t="s">
        <v>15</v>
      </c>
      <c r="L78" s="192">
        <v>15</v>
      </c>
      <c r="M78" s="193">
        <v>46178</v>
      </c>
      <c r="N78" s="192">
        <v>15</v>
      </c>
      <c r="O78" s="192">
        <v>15</v>
      </c>
      <c r="P78" s="192">
        <v>15</v>
      </c>
      <c r="Q78" s="192">
        <v>15</v>
      </c>
      <c r="R78" s="192">
        <v>15</v>
      </c>
      <c r="S78" s="192">
        <v>15</v>
      </c>
      <c r="T78" s="192">
        <v>15</v>
      </c>
      <c r="U78" s="192">
        <f t="shared" si="22"/>
        <v>0</v>
      </c>
      <c r="V78" s="192">
        <v>15</v>
      </c>
      <c r="W78" s="192">
        <f t="shared" si="23"/>
        <v>0</v>
      </c>
      <c r="X78" s="194">
        <f t="shared" si="24"/>
        <v>0</v>
      </c>
      <c r="Y78" s="194">
        <f t="shared" si="25"/>
        <v>0</v>
      </c>
      <c r="Z78" s="194">
        <f t="shared" si="26"/>
        <v>0</v>
      </c>
      <c r="AA78" s="194">
        <f t="shared" si="27"/>
        <v>0</v>
      </c>
      <c r="AB78" s="194">
        <f t="shared" si="28"/>
        <v>0</v>
      </c>
      <c r="AC78" s="194">
        <f t="shared" si="29"/>
        <v>0</v>
      </c>
      <c r="AD78" s="194">
        <f t="shared" si="30"/>
        <v>0</v>
      </c>
      <c r="AE78" s="194">
        <f t="shared" si="31"/>
        <v>0</v>
      </c>
      <c r="AF78" s="194">
        <v>0</v>
      </c>
      <c r="AG78" s="194">
        <v>0</v>
      </c>
      <c r="AH78" s="194">
        <v>0</v>
      </c>
      <c r="AI78" s="194">
        <v>0</v>
      </c>
      <c r="AJ78" s="194">
        <v>0</v>
      </c>
      <c r="AK78" s="194">
        <f t="shared" si="32"/>
        <v>0</v>
      </c>
    </row>
    <row r="79" spans="1:37" ht="15" customHeight="1" x14ac:dyDescent="0.25">
      <c r="A79" s="192" t="s">
        <v>1158</v>
      </c>
      <c r="B79" s="192" t="s">
        <v>1159</v>
      </c>
      <c r="C79" s="192" t="s">
        <v>692</v>
      </c>
      <c r="D79" s="192" t="s">
        <v>1160</v>
      </c>
      <c r="E79" s="192" t="s">
        <v>998</v>
      </c>
      <c r="F79" s="192" t="s">
        <v>1161</v>
      </c>
      <c r="G79" s="193">
        <v>46132</v>
      </c>
      <c r="H79" s="192" t="s">
        <v>1000</v>
      </c>
      <c r="I79" s="192" t="s">
        <v>1129</v>
      </c>
      <c r="J79" s="192" t="s">
        <v>1130</v>
      </c>
      <c r="K79" s="192" t="s">
        <v>13</v>
      </c>
      <c r="L79" s="192">
        <v>4</v>
      </c>
      <c r="M79" s="193">
        <v>46172</v>
      </c>
      <c r="N79" s="192">
        <v>4</v>
      </c>
      <c r="O79" s="192">
        <v>4</v>
      </c>
      <c r="P79" s="192">
        <v>4</v>
      </c>
      <c r="Q79" s="192">
        <v>4</v>
      </c>
      <c r="R79" s="192">
        <v>4</v>
      </c>
      <c r="S79" s="192">
        <v>4</v>
      </c>
      <c r="T79" s="192">
        <v>4</v>
      </c>
      <c r="U79" s="192">
        <f t="shared" si="22"/>
        <v>0</v>
      </c>
      <c r="V79" s="192">
        <v>4</v>
      </c>
      <c r="W79" s="192">
        <f t="shared" si="23"/>
        <v>0</v>
      </c>
      <c r="X79" s="194">
        <f t="shared" si="24"/>
        <v>0</v>
      </c>
      <c r="Y79" s="194">
        <f t="shared" si="25"/>
        <v>0</v>
      </c>
      <c r="Z79" s="194">
        <f t="shared" si="26"/>
        <v>0</v>
      </c>
      <c r="AA79" s="194">
        <f t="shared" si="27"/>
        <v>0</v>
      </c>
      <c r="AB79" s="194">
        <f t="shared" si="28"/>
        <v>0</v>
      </c>
      <c r="AC79" s="194">
        <f t="shared" si="29"/>
        <v>0</v>
      </c>
      <c r="AD79" s="194">
        <f t="shared" si="30"/>
        <v>0</v>
      </c>
      <c r="AE79" s="194">
        <f t="shared" si="31"/>
        <v>0</v>
      </c>
      <c r="AF79" s="194">
        <v>0</v>
      </c>
      <c r="AG79" s="194">
        <v>0</v>
      </c>
      <c r="AH79" s="194">
        <v>0</v>
      </c>
      <c r="AI79" s="194">
        <v>0</v>
      </c>
      <c r="AJ79" s="194">
        <v>0</v>
      </c>
      <c r="AK79" s="194">
        <f t="shared" si="32"/>
        <v>0</v>
      </c>
    </row>
    <row r="80" spans="1:37" ht="15" customHeight="1" x14ac:dyDescent="0.25">
      <c r="A80" s="192" t="s">
        <v>1162</v>
      </c>
      <c r="B80" s="192" t="s">
        <v>1163</v>
      </c>
      <c r="C80" s="192" t="s">
        <v>692</v>
      </c>
      <c r="D80" s="192" t="s">
        <v>1160</v>
      </c>
      <c r="E80" s="192" t="s">
        <v>998</v>
      </c>
      <c r="F80" s="192" t="s">
        <v>1164</v>
      </c>
      <c r="G80" s="193">
        <v>46133</v>
      </c>
      <c r="H80" s="192" t="s">
        <v>1000</v>
      </c>
      <c r="I80" s="192" t="s">
        <v>1140</v>
      </c>
      <c r="J80" s="192" t="s">
        <v>1141</v>
      </c>
      <c r="K80" s="192" t="s">
        <v>13</v>
      </c>
      <c r="L80" s="192">
        <v>6</v>
      </c>
      <c r="M80" s="193">
        <v>46172</v>
      </c>
      <c r="N80" s="192">
        <v>6</v>
      </c>
      <c r="O80" s="192">
        <v>6</v>
      </c>
      <c r="P80" s="192">
        <v>6</v>
      </c>
      <c r="Q80" s="192">
        <v>6</v>
      </c>
      <c r="R80" s="192">
        <v>6</v>
      </c>
      <c r="S80" s="192">
        <v>6</v>
      </c>
      <c r="T80" s="192">
        <v>6</v>
      </c>
      <c r="U80" s="192">
        <f t="shared" si="22"/>
        <v>0</v>
      </c>
      <c r="V80" s="192">
        <v>6</v>
      </c>
      <c r="W80" s="192">
        <f t="shared" si="23"/>
        <v>0</v>
      </c>
      <c r="X80" s="194">
        <f t="shared" si="24"/>
        <v>0</v>
      </c>
      <c r="Y80" s="194">
        <f t="shared" si="25"/>
        <v>0</v>
      </c>
      <c r="Z80" s="194">
        <f t="shared" si="26"/>
        <v>0</v>
      </c>
      <c r="AA80" s="194">
        <f t="shared" si="27"/>
        <v>0</v>
      </c>
      <c r="AB80" s="194">
        <f t="shared" si="28"/>
        <v>0</v>
      </c>
      <c r="AC80" s="194">
        <f t="shared" si="29"/>
        <v>0</v>
      </c>
      <c r="AD80" s="194">
        <f t="shared" si="30"/>
        <v>0</v>
      </c>
      <c r="AE80" s="194">
        <f t="shared" si="31"/>
        <v>0</v>
      </c>
      <c r="AF80" s="194">
        <v>0</v>
      </c>
      <c r="AG80" s="194">
        <v>0</v>
      </c>
      <c r="AH80" s="194">
        <v>0</v>
      </c>
      <c r="AI80" s="194">
        <v>0</v>
      </c>
      <c r="AJ80" s="194">
        <v>0</v>
      </c>
      <c r="AK80" s="194">
        <f t="shared" si="32"/>
        <v>0</v>
      </c>
    </row>
    <row r="81" spans="1:37" ht="15" customHeight="1" x14ac:dyDescent="0.25">
      <c r="A81" s="192" t="s">
        <v>1162</v>
      </c>
      <c r="B81" s="192" t="s">
        <v>1163</v>
      </c>
      <c r="C81" s="192" t="s">
        <v>692</v>
      </c>
      <c r="D81" s="192" t="s">
        <v>1160</v>
      </c>
      <c r="E81" s="192" t="s">
        <v>998</v>
      </c>
      <c r="F81" s="192" t="s">
        <v>1164</v>
      </c>
      <c r="G81" s="193">
        <v>46133</v>
      </c>
      <c r="H81" s="192" t="s">
        <v>1000</v>
      </c>
      <c r="I81" s="192" t="s">
        <v>1142</v>
      </c>
      <c r="J81" s="192" t="s">
        <v>1143</v>
      </c>
      <c r="K81" s="192" t="s">
        <v>13</v>
      </c>
      <c r="L81" s="192">
        <v>5</v>
      </c>
      <c r="M81" s="193">
        <v>46172</v>
      </c>
      <c r="N81" s="192">
        <v>5</v>
      </c>
      <c r="O81" s="192">
        <v>5</v>
      </c>
      <c r="P81" s="192">
        <v>5</v>
      </c>
      <c r="Q81" s="192">
        <v>5</v>
      </c>
      <c r="R81" s="192">
        <v>5</v>
      </c>
      <c r="S81" s="192">
        <v>5</v>
      </c>
      <c r="T81" s="192">
        <v>5</v>
      </c>
      <c r="U81" s="192">
        <f t="shared" si="22"/>
        <v>0</v>
      </c>
      <c r="V81" s="192">
        <v>5</v>
      </c>
      <c r="W81" s="192">
        <f t="shared" si="23"/>
        <v>0</v>
      </c>
      <c r="X81" s="194">
        <f t="shared" si="24"/>
        <v>0</v>
      </c>
      <c r="Y81" s="194">
        <f t="shared" si="25"/>
        <v>0</v>
      </c>
      <c r="Z81" s="194">
        <f t="shared" si="26"/>
        <v>0</v>
      </c>
      <c r="AA81" s="194">
        <f t="shared" si="27"/>
        <v>0</v>
      </c>
      <c r="AB81" s="194">
        <f t="shared" si="28"/>
        <v>0</v>
      </c>
      <c r="AC81" s="194">
        <f t="shared" si="29"/>
        <v>0</v>
      </c>
      <c r="AD81" s="194">
        <f t="shared" si="30"/>
        <v>0</v>
      </c>
      <c r="AE81" s="194">
        <f t="shared" si="31"/>
        <v>0</v>
      </c>
      <c r="AF81" s="194">
        <v>0</v>
      </c>
      <c r="AG81" s="194">
        <v>0</v>
      </c>
      <c r="AH81" s="194">
        <v>0</v>
      </c>
      <c r="AI81" s="194">
        <v>0</v>
      </c>
      <c r="AJ81" s="194">
        <v>0</v>
      </c>
      <c r="AK81" s="194">
        <f t="shared" si="32"/>
        <v>0</v>
      </c>
    </row>
    <row r="82" spans="1:37" ht="15" customHeight="1" x14ac:dyDescent="0.25">
      <c r="A82" s="192" t="s">
        <v>1162</v>
      </c>
      <c r="B82" s="192" t="s">
        <v>1163</v>
      </c>
      <c r="C82" s="192" t="s">
        <v>692</v>
      </c>
      <c r="D82" s="192" t="s">
        <v>1160</v>
      </c>
      <c r="E82" s="192" t="s">
        <v>998</v>
      </c>
      <c r="F82" s="192" t="s">
        <v>1164</v>
      </c>
      <c r="G82" s="193">
        <v>46133</v>
      </c>
      <c r="H82" s="192" t="s">
        <v>1000</v>
      </c>
      <c r="I82" s="192" t="s">
        <v>1150</v>
      </c>
      <c r="J82" s="192" t="s">
        <v>1151</v>
      </c>
      <c r="K82" s="192" t="s">
        <v>13</v>
      </c>
      <c r="L82" s="192">
        <v>10</v>
      </c>
      <c r="M82" s="193">
        <v>46172</v>
      </c>
      <c r="N82" s="192">
        <v>10</v>
      </c>
      <c r="O82" s="192">
        <v>10</v>
      </c>
      <c r="P82" s="192">
        <v>10</v>
      </c>
      <c r="Q82" s="192">
        <v>10</v>
      </c>
      <c r="R82" s="192">
        <v>10</v>
      </c>
      <c r="S82" s="192">
        <v>10</v>
      </c>
      <c r="T82" s="192">
        <v>10</v>
      </c>
      <c r="U82" s="192">
        <f t="shared" si="22"/>
        <v>0</v>
      </c>
      <c r="V82" s="192">
        <v>10</v>
      </c>
      <c r="W82" s="192">
        <f t="shared" si="23"/>
        <v>0</v>
      </c>
      <c r="X82" s="194">
        <f t="shared" si="24"/>
        <v>0</v>
      </c>
      <c r="Y82" s="194">
        <f t="shared" si="25"/>
        <v>0</v>
      </c>
      <c r="Z82" s="194">
        <f t="shared" si="26"/>
        <v>0</v>
      </c>
      <c r="AA82" s="194">
        <f t="shared" si="27"/>
        <v>0</v>
      </c>
      <c r="AB82" s="194">
        <f t="shared" si="28"/>
        <v>0</v>
      </c>
      <c r="AC82" s="194">
        <f t="shared" si="29"/>
        <v>0</v>
      </c>
      <c r="AD82" s="194">
        <f t="shared" si="30"/>
        <v>0</v>
      </c>
      <c r="AE82" s="194">
        <f t="shared" si="31"/>
        <v>0</v>
      </c>
      <c r="AF82" s="194">
        <v>0</v>
      </c>
      <c r="AG82" s="194">
        <v>0</v>
      </c>
      <c r="AH82" s="194">
        <v>0</v>
      </c>
      <c r="AI82" s="194">
        <v>0</v>
      </c>
      <c r="AJ82" s="194">
        <v>0</v>
      </c>
      <c r="AK82" s="194">
        <f t="shared" si="32"/>
        <v>0</v>
      </c>
    </row>
    <row r="83" spans="1:37" ht="15" customHeight="1" x14ac:dyDescent="0.25">
      <c r="A83" s="192" t="s">
        <v>1165</v>
      </c>
      <c r="B83" s="192" t="s">
        <v>1166</v>
      </c>
      <c r="C83" s="192" t="s">
        <v>692</v>
      </c>
      <c r="D83" s="192" t="s">
        <v>1160</v>
      </c>
      <c r="E83" s="192" t="s">
        <v>998</v>
      </c>
      <c r="F83" s="192" t="s">
        <v>1167</v>
      </c>
      <c r="G83" s="193">
        <v>46132</v>
      </c>
      <c r="H83" s="192" t="s">
        <v>1000</v>
      </c>
      <c r="I83" s="192" t="s">
        <v>1013</v>
      </c>
      <c r="J83" s="192" t="s">
        <v>1014</v>
      </c>
      <c r="K83" s="192" t="s">
        <v>13</v>
      </c>
      <c r="L83" s="192">
        <v>16</v>
      </c>
      <c r="M83" s="193">
        <v>46172</v>
      </c>
      <c r="N83" s="192">
        <v>16</v>
      </c>
      <c r="O83" s="192">
        <v>16</v>
      </c>
      <c r="P83" s="192">
        <v>16</v>
      </c>
      <c r="Q83" s="192">
        <v>16</v>
      </c>
      <c r="R83" s="192">
        <v>16</v>
      </c>
      <c r="S83" s="192">
        <v>16</v>
      </c>
      <c r="T83" s="192">
        <v>16</v>
      </c>
      <c r="U83" s="192">
        <f t="shared" si="22"/>
        <v>0</v>
      </c>
      <c r="V83" s="192">
        <v>16</v>
      </c>
      <c r="W83" s="192">
        <f t="shared" si="23"/>
        <v>0</v>
      </c>
      <c r="X83" s="194">
        <f t="shared" si="24"/>
        <v>0</v>
      </c>
      <c r="Y83" s="194">
        <f t="shared" si="25"/>
        <v>0</v>
      </c>
      <c r="Z83" s="194">
        <f t="shared" si="26"/>
        <v>0</v>
      </c>
      <c r="AA83" s="194">
        <f t="shared" si="27"/>
        <v>0</v>
      </c>
      <c r="AB83" s="194">
        <f t="shared" si="28"/>
        <v>0</v>
      </c>
      <c r="AC83" s="194">
        <f t="shared" si="29"/>
        <v>0</v>
      </c>
      <c r="AD83" s="194">
        <f t="shared" si="30"/>
        <v>0</v>
      </c>
      <c r="AE83" s="194">
        <f t="shared" si="31"/>
        <v>0</v>
      </c>
      <c r="AF83" s="194">
        <v>0</v>
      </c>
      <c r="AG83" s="194">
        <v>0</v>
      </c>
      <c r="AH83" s="194">
        <v>0</v>
      </c>
      <c r="AI83" s="194">
        <v>0</v>
      </c>
      <c r="AJ83" s="194">
        <v>0</v>
      </c>
      <c r="AK83" s="194">
        <f t="shared" si="32"/>
        <v>0</v>
      </c>
    </row>
    <row r="84" spans="1:37" ht="15" customHeight="1" x14ac:dyDescent="0.25">
      <c r="A84" s="192" t="s">
        <v>1165</v>
      </c>
      <c r="B84" s="192" t="s">
        <v>1166</v>
      </c>
      <c r="C84" s="192" t="s">
        <v>692</v>
      </c>
      <c r="D84" s="192" t="s">
        <v>1160</v>
      </c>
      <c r="E84" s="192" t="s">
        <v>998</v>
      </c>
      <c r="F84" s="192" t="s">
        <v>1167</v>
      </c>
      <c r="G84" s="193">
        <v>46132</v>
      </c>
      <c r="H84" s="192" t="s">
        <v>1000</v>
      </c>
      <c r="I84" s="192" t="s">
        <v>1009</v>
      </c>
      <c r="J84" s="192" t="s">
        <v>1010</v>
      </c>
      <c r="K84" s="192" t="s">
        <v>13</v>
      </c>
      <c r="L84" s="192">
        <v>6</v>
      </c>
      <c r="M84" s="193">
        <v>46172</v>
      </c>
      <c r="N84" s="192">
        <v>6</v>
      </c>
      <c r="O84" s="192">
        <v>6</v>
      </c>
      <c r="P84" s="192">
        <v>6</v>
      </c>
      <c r="Q84" s="192">
        <v>6</v>
      </c>
      <c r="R84" s="192">
        <v>6</v>
      </c>
      <c r="S84" s="192">
        <v>6</v>
      </c>
      <c r="T84" s="192">
        <v>6</v>
      </c>
      <c r="U84" s="192">
        <f t="shared" si="22"/>
        <v>0</v>
      </c>
      <c r="V84" s="192">
        <v>6</v>
      </c>
      <c r="W84" s="192">
        <f t="shared" si="23"/>
        <v>0</v>
      </c>
      <c r="X84" s="194">
        <f t="shared" si="24"/>
        <v>0</v>
      </c>
      <c r="Y84" s="194">
        <f t="shared" si="25"/>
        <v>0</v>
      </c>
      <c r="Z84" s="194">
        <f t="shared" si="26"/>
        <v>0</v>
      </c>
      <c r="AA84" s="194">
        <f t="shared" si="27"/>
        <v>0</v>
      </c>
      <c r="AB84" s="194">
        <f t="shared" si="28"/>
        <v>0</v>
      </c>
      <c r="AC84" s="194">
        <f t="shared" si="29"/>
        <v>0</v>
      </c>
      <c r="AD84" s="194">
        <f t="shared" si="30"/>
        <v>0</v>
      </c>
      <c r="AE84" s="194">
        <f t="shared" si="31"/>
        <v>0</v>
      </c>
      <c r="AF84" s="194">
        <v>0</v>
      </c>
      <c r="AG84" s="194">
        <v>0</v>
      </c>
      <c r="AH84" s="194">
        <v>0</v>
      </c>
      <c r="AI84" s="194">
        <v>0</v>
      </c>
      <c r="AJ84" s="194">
        <v>0</v>
      </c>
      <c r="AK84" s="194">
        <f t="shared" si="32"/>
        <v>0</v>
      </c>
    </row>
    <row r="85" spans="1:37" ht="15" customHeight="1" x14ac:dyDescent="0.25">
      <c r="A85" s="192" t="s">
        <v>1165</v>
      </c>
      <c r="B85" s="192" t="s">
        <v>1166</v>
      </c>
      <c r="C85" s="192" t="s">
        <v>692</v>
      </c>
      <c r="D85" s="192" t="s">
        <v>1160</v>
      </c>
      <c r="E85" s="192" t="s">
        <v>998</v>
      </c>
      <c r="F85" s="192" t="s">
        <v>1167</v>
      </c>
      <c r="G85" s="193">
        <v>46132</v>
      </c>
      <c r="H85" s="192" t="s">
        <v>1000</v>
      </c>
      <c r="I85" s="192" t="s">
        <v>1168</v>
      </c>
      <c r="J85" s="192" t="s">
        <v>1169</v>
      </c>
      <c r="K85" s="192" t="s">
        <v>13</v>
      </c>
      <c r="L85" s="192">
        <v>6</v>
      </c>
      <c r="M85" s="193">
        <v>46172</v>
      </c>
      <c r="N85" s="192">
        <v>6</v>
      </c>
      <c r="O85" s="192">
        <v>6</v>
      </c>
      <c r="P85" s="192">
        <v>6</v>
      </c>
      <c r="Q85" s="192">
        <v>6</v>
      </c>
      <c r="R85" s="192">
        <v>6</v>
      </c>
      <c r="S85" s="192">
        <v>6</v>
      </c>
      <c r="T85" s="192">
        <v>6</v>
      </c>
      <c r="U85" s="192">
        <f t="shared" si="22"/>
        <v>0</v>
      </c>
      <c r="V85" s="192">
        <v>6</v>
      </c>
      <c r="W85" s="192">
        <f t="shared" si="23"/>
        <v>0</v>
      </c>
      <c r="X85" s="194">
        <f t="shared" si="24"/>
        <v>0</v>
      </c>
      <c r="Y85" s="194">
        <f t="shared" si="25"/>
        <v>0</v>
      </c>
      <c r="Z85" s="194">
        <f t="shared" si="26"/>
        <v>0</v>
      </c>
      <c r="AA85" s="194">
        <f t="shared" si="27"/>
        <v>0</v>
      </c>
      <c r="AB85" s="194">
        <f t="shared" si="28"/>
        <v>0</v>
      </c>
      <c r="AC85" s="194">
        <f t="shared" si="29"/>
        <v>0</v>
      </c>
      <c r="AD85" s="194">
        <f t="shared" si="30"/>
        <v>0</v>
      </c>
      <c r="AE85" s="194">
        <f t="shared" si="31"/>
        <v>0</v>
      </c>
      <c r="AF85" s="194">
        <v>0</v>
      </c>
      <c r="AG85" s="194">
        <v>0</v>
      </c>
      <c r="AH85" s="194">
        <v>0</v>
      </c>
      <c r="AI85" s="194">
        <v>0</v>
      </c>
      <c r="AJ85" s="194">
        <v>0</v>
      </c>
      <c r="AK85" s="194">
        <f t="shared" si="32"/>
        <v>0</v>
      </c>
    </row>
    <row r="86" spans="1:37" ht="15" customHeight="1" x14ac:dyDescent="0.25">
      <c r="A86" s="192" t="s">
        <v>1170</v>
      </c>
      <c r="B86" s="192" t="s">
        <v>1171</v>
      </c>
      <c r="C86" s="192" t="s">
        <v>692</v>
      </c>
      <c r="D86" s="192" t="s">
        <v>1160</v>
      </c>
      <c r="E86" s="192" t="s">
        <v>998</v>
      </c>
      <c r="F86" s="192" t="s">
        <v>1172</v>
      </c>
      <c r="G86" s="193">
        <v>46133</v>
      </c>
      <c r="H86" s="192" t="s">
        <v>1000</v>
      </c>
      <c r="I86" s="192" t="s">
        <v>1173</v>
      </c>
      <c r="J86" s="192" t="s">
        <v>1174</v>
      </c>
      <c r="K86" s="192" t="s">
        <v>13</v>
      </c>
      <c r="L86" s="192">
        <v>10</v>
      </c>
      <c r="M86" s="193">
        <v>46172</v>
      </c>
      <c r="N86" s="192">
        <v>10</v>
      </c>
      <c r="O86" s="192">
        <v>10</v>
      </c>
      <c r="P86" s="192">
        <v>10</v>
      </c>
      <c r="Q86" s="192">
        <v>10</v>
      </c>
      <c r="R86" s="192">
        <v>10</v>
      </c>
      <c r="S86" s="192">
        <v>10</v>
      </c>
      <c r="T86" s="192">
        <v>10</v>
      </c>
      <c r="U86" s="192">
        <f t="shared" si="22"/>
        <v>0</v>
      </c>
      <c r="V86" s="192">
        <v>10</v>
      </c>
      <c r="W86" s="192">
        <f t="shared" si="23"/>
        <v>0</v>
      </c>
      <c r="X86" s="194">
        <f t="shared" si="24"/>
        <v>0</v>
      </c>
      <c r="Y86" s="194">
        <f t="shared" si="25"/>
        <v>0</v>
      </c>
      <c r="Z86" s="194">
        <f t="shared" si="26"/>
        <v>0</v>
      </c>
      <c r="AA86" s="194">
        <f t="shared" si="27"/>
        <v>0</v>
      </c>
      <c r="AB86" s="194">
        <f t="shared" si="28"/>
        <v>0</v>
      </c>
      <c r="AC86" s="194">
        <f t="shared" si="29"/>
        <v>0</v>
      </c>
      <c r="AD86" s="194">
        <f t="shared" si="30"/>
        <v>0</v>
      </c>
      <c r="AE86" s="194">
        <f t="shared" si="31"/>
        <v>0</v>
      </c>
      <c r="AF86" s="194">
        <v>0</v>
      </c>
      <c r="AG86" s="194">
        <v>0</v>
      </c>
      <c r="AH86" s="194">
        <v>0</v>
      </c>
      <c r="AI86" s="194">
        <v>0</v>
      </c>
      <c r="AJ86" s="194">
        <v>0</v>
      </c>
      <c r="AK86" s="194">
        <f t="shared" si="32"/>
        <v>0</v>
      </c>
    </row>
    <row r="87" spans="1:37" ht="15" customHeight="1" x14ac:dyDescent="0.25">
      <c r="A87" s="192" t="s">
        <v>1170</v>
      </c>
      <c r="B87" s="192" t="s">
        <v>1171</v>
      </c>
      <c r="C87" s="192" t="s">
        <v>692</v>
      </c>
      <c r="D87" s="192" t="s">
        <v>1160</v>
      </c>
      <c r="E87" s="192" t="s">
        <v>998</v>
      </c>
      <c r="F87" s="192" t="s">
        <v>1172</v>
      </c>
      <c r="G87" s="193">
        <v>46133</v>
      </c>
      <c r="H87" s="192" t="s">
        <v>1000</v>
      </c>
      <c r="I87" s="192" t="s">
        <v>1175</v>
      </c>
      <c r="J87" s="192" t="s">
        <v>1176</v>
      </c>
      <c r="K87" s="192" t="s">
        <v>13</v>
      </c>
      <c r="L87" s="192">
        <v>10</v>
      </c>
      <c r="M87" s="193">
        <v>46172</v>
      </c>
      <c r="N87" s="192">
        <v>10</v>
      </c>
      <c r="O87" s="192">
        <v>10</v>
      </c>
      <c r="P87" s="192">
        <v>10</v>
      </c>
      <c r="Q87" s="192">
        <v>10</v>
      </c>
      <c r="R87" s="192">
        <v>10</v>
      </c>
      <c r="S87" s="192">
        <v>10</v>
      </c>
      <c r="T87" s="192">
        <v>10</v>
      </c>
      <c r="U87" s="192">
        <f t="shared" si="22"/>
        <v>0</v>
      </c>
      <c r="V87" s="192">
        <v>10</v>
      </c>
      <c r="W87" s="192">
        <f t="shared" si="23"/>
        <v>0</v>
      </c>
      <c r="X87" s="194">
        <f t="shared" si="24"/>
        <v>0</v>
      </c>
      <c r="Y87" s="194">
        <f t="shared" si="25"/>
        <v>0</v>
      </c>
      <c r="Z87" s="194">
        <f t="shared" si="26"/>
        <v>0</v>
      </c>
      <c r="AA87" s="194">
        <f t="shared" si="27"/>
        <v>0</v>
      </c>
      <c r="AB87" s="194">
        <f t="shared" si="28"/>
        <v>0</v>
      </c>
      <c r="AC87" s="194">
        <f t="shared" si="29"/>
        <v>0</v>
      </c>
      <c r="AD87" s="194">
        <f t="shared" si="30"/>
        <v>0</v>
      </c>
      <c r="AE87" s="194">
        <f t="shared" si="31"/>
        <v>0</v>
      </c>
      <c r="AF87" s="194">
        <v>0</v>
      </c>
      <c r="AG87" s="194">
        <v>0</v>
      </c>
      <c r="AH87" s="194">
        <v>0</v>
      </c>
      <c r="AI87" s="194">
        <v>0</v>
      </c>
      <c r="AJ87" s="194">
        <v>0</v>
      </c>
      <c r="AK87" s="194">
        <f t="shared" si="32"/>
        <v>0</v>
      </c>
    </row>
    <row r="88" spans="1:37" ht="15" customHeight="1" x14ac:dyDescent="0.25">
      <c r="A88" s="192" t="s">
        <v>1177</v>
      </c>
      <c r="B88" s="192" t="s">
        <v>582</v>
      </c>
      <c r="C88" s="192" t="s">
        <v>837</v>
      </c>
      <c r="D88" s="192" t="s">
        <v>997</v>
      </c>
      <c r="E88" s="192" t="s">
        <v>998</v>
      </c>
      <c r="F88" s="192" t="s">
        <v>1178</v>
      </c>
      <c r="G88" s="193">
        <v>46141</v>
      </c>
      <c r="H88" s="192" t="s">
        <v>1000</v>
      </c>
      <c r="I88" s="192" t="s">
        <v>1179</v>
      </c>
      <c r="J88" s="192" t="s">
        <v>1180</v>
      </c>
      <c r="K88" s="192" t="s">
        <v>13</v>
      </c>
      <c r="L88" s="192">
        <v>120</v>
      </c>
      <c r="M88" s="193">
        <v>46188</v>
      </c>
      <c r="N88" s="192">
        <v>120</v>
      </c>
      <c r="O88" s="192">
        <v>120</v>
      </c>
      <c r="P88" s="192">
        <v>120</v>
      </c>
      <c r="Q88" s="192">
        <v>120</v>
      </c>
      <c r="R88" s="192">
        <v>120</v>
      </c>
      <c r="S88" s="192">
        <v>120</v>
      </c>
      <c r="T88" s="192">
        <v>120</v>
      </c>
      <c r="U88" s="192">
        <f t="shared" si="22"/>
        <v>0</v>
      </c>
      <c r="V88" s="192">
        <v>120</v>
      </c>
      <c r="W88" s="192">
        <f t="shared" si="23"/>
        <v>0</v>
      </c>
      <c r="X88" s="194">
        <f t="shared" si="24"/>
        <v>0</v>
      </c>
      <c r="Y88" s="194">
        <f t="shared" si="25"/>
        <v>0</v>
      </c>
      <c r="Z88" s="194">
        <f t="shared" si="26"/>
        <v>0</v>
      </c>
      <c r="AA88" s="194">
        <f t="shared" si="27"/>
        <v>0</v>
      </c>
      <c r="AB88" s="194">
        <f t="shared" si="28"/>
        <v>0</v>
      </c>
      <c r="AC88" s="194">
        <f t="shared" si="29"/>
        <v>0</v>
      </c>
      <c r="AD88" s="194">
        <f t="shared" si="30"/>
        <v>0</v>
      </c>
      <c r="AE88" s="194">
        <f t="shared" si="31"/>
        <v>0</v>
      </c>
      <c r="AF88" s="194">
        <v>0</v>
      </c>
      <c r="AG88" s="194">
        <v>0</v>
      </c>
      <c r="AH88" s="194">
        <v>0</v>
      </c>
      <c r="AI88" s="194">
        <v>0</v>
      </c>
      <c r="AJ88" s="194">
        <v>0</v>
      </c>
      <c r="AK88" s="194">
        <f t="shared" si="32"/>
        <v>0</v>
      </c>
    </row>
    <row r="89" spans="1:37" ht="15" customHeight="1" x14ac:dyDescent="0.25">
      <c r="A89" s="192" t="s">
        <v>1177</v>
      </c>
      <c r="B89" s="192" t="s">
        <v>582</v>
      </c>
      <c r="C89" s="192" t="s">
        <v>837</v>
      </c>
      <c r="D89" s="192" t="s">
        <v>997</v>
      </c>
      <c r="E89" s="192" t="s">
        <v>998</v>
      </c>
      <c r="F89" s="192" t="s">
        <v>1178</v>
      </c>
      <c r="G89" s="193">
        <v>46141</v>
      </c>
      <c r="H89" s="192" t="s">
        <v>1000</v>
      </c>
      <c r="I89" s="192" t="s">
        <v>1181</v>
      </c>
      <c r="J89" s="192" t="s">
        <v>1182</v>
      </c>
      <c r="K89" s="192" t="s">
        <v>13</v>
      </c>
      <c r="L89" s="192">
        <v>160</v>
      </c>
      <c r="M89" s="193">
        <v>46188</v>
      </c>
      <c r="N89" s="192">
        <v>160</v>
      </c>
      <c r="O89" s="192">
        <v>160</v>
      </c>
      <c r="P89" s="192">
        <v>160</v>
      </c>
      <c r="Q89" s="192">
        <v>160</v>
      </c>
      <c r="R89" s="192">
        <v>160</v>
      </c>
      <c r="S89" s="192">
        <v>160</v>
      </c>
      <c r="T89" s="192">
        <v>160</v>
      </c>
      <c r="U89" s="192">
        <f t="shared" si="22"/>
        <v>0</v>
      </c>
      <c r="V89" s="192">
        <v>160</v>
      </c>
      <c r="W89" s="192">
        <f t="shared" si="23"/>
        <v>0</v>
      </c>
      <c r="X89" s="194">
        <f t="shared" si="24"/>
        <v>0</v>
      </c>
      <c r="Y89" s="194">
        <f t="shared" si="25"/>
        <v>0</v>
      </c>
      <c r="Z89" s="194">
        <f t="shared" si="26"/>
        <v>0</v>
      </c>
      <c r="AA89" s="194">
        <f t="shared" si="27"/>
        <v>0</v>
      </c>
      <c r="AB89" s="194">
        <f t="shared" si="28"/>
        <v>0</v>
      </c>
      <c r="AC89" s="194">
        <f t="shared" si="29"/>
        <v>0</v>
      </c>
      <c r="AD89" s="194">
        <f t="shared" si="30"/>
        <v>0</v>
      </c>
      <c r="AE89" s="194">
        <f t="shared" si="31"/>
        <v>0</v>
      </c>
      <c r="AF89" s="194">
        <v>0</v>
      </c>
      <c r="AG89" s="194">
        <v>0</v>
      </c>
      <c r="AH89" s="194">
        <v>0</v>
      </c>
      <c r="AI89" s="194">
        <v>0</v>
      </c>
      <c r="AJ89" s="194">
        <v>0</v>
      </c>
      <c r="AK89" s="194">
        <f t="shared" si="32"/>
        <v>0</v>
      </c>
    </row>
    <row r="90" spans="1:37" ht="15" customHeight="1" x14ac:dyDescent="0.25">
      <c r="A90" s="192" t="s">
        <v>1131</v>
      </c>
      <c r="B90" s="192" t="s">
        <v>533</v>
      </c>
      <c r="C90" s="192" t="s">
        <v>1132</v>
      </c>
      <c r="D90" s="192" t="s">
        <v>997</v>
      </c>
      <c r="E90" s="192" t="s">
        <v>998</v>
      </c>
      <c r="F90" s="192" t="s">
        <v>1183</v>
      </c>
      <c r="G90" s="193">
        <v>46150</v>
      </c>
      <c r="H90" s="192" t="s">
        <v>1000</v>
      </c>
      <c r="I90" s="192" t="s">
        <v>1173</v>
      </c>
      <c r="J90" s="192" t="s">
        <v>1174</v>
      </c>
      <c r="K90" s="192" t="s">
        <v>13</v>
      </c>
      <c r="L90" s="192">
        <v>6</v>
      </c>
      <c r="M90" s="193">
        <v>46193</v>
      </c>
      <c r="N90" s="192">
        <v>6</v>
      </c>
      <c r="O90" s="192">
        <v>6</v>
      </c>
      <c r="P90" s="192">
        <v>6</v>
      </c>
      <c r="Q90" s="192">
        <v>6</v>
      </c>
      <c r="R90" s="192">
        <v>6</v>
      </c>
      <c r="S90" s="192">
        <v>6</v>
      </c>
      <c r="T90" s="192">
        <v>6</v>
      </c>
      <c r="U90" s="192">
        <f t="shared" si="22"/>
        <v>0</v>
      </c>
      <c r="V90" s="192">
        <v>6</v>
      </c>
      <c r="W90" s="192">
        <f t="shared" si="23"/>
        <v>0</v>
      </c>
      <c r="X90" s="194">
        <f t="shared" si="24"/>
        <v>0</v>
      </c>
      <c r="Y90" s="194">
        <f t="shared" si="25"/>
        <v>0</v>
      </c>
      <c r="Z90" s="194">
        <f t="shared" si="26"/>
        <v>0</v>
      </c>
      <c r="AA90" s="194">
        <f t="shared" si="27"/>
        <v>0</v>
      </c>
      <c r="AB90" s="194">
        <f t="shared" si="28"/>
        <v>0</v>
      </c>
      <c r="AC90" s="194">
        <f t="shared" si="29"/>
        <v>0</v>
      </c>
      <c r="AD90" s="194">
        <f t="shared" si="30"/>
        <v>0</v>
      </c>
      <c r="AE90" s="194">
        <f t="shared" si="31"/>
        <v>0</v>
      </c>
      <c r="AF90" s="194">
        <v>0</v>
      </c>
      <c r="AG90" s="194">
        <v>0</v>
      </c>
      <c r="AH90" s="194">
        <v>0</v>
      </c>
      <c r="AI90" s="194">
        <v>0</v>
      </c>
      <c r="AJ90" s="194">
        <v>0</v>
      </c>
      <c r="AK90" s="194">
        <f t="shared" si="32"/>
        <v>0</v>
      </c>
    </row>
    <row r="91" spans="1:37" ht="15" customHeight="1" x14ac:dyDescent="0.25">
      <c r="A91" s="192" t="s">
        <v>1131</v>
      </c>
      <c r="B91" s="192" t="s">
        <v>533</v>
      </c>
      <c r="C91" s="192" t="s">
        <v>1132</v>
      </c>
      <c r="D91" s="192" t="s">
        <v>997</v>
      </c>
      <c r="E91" s="192" t="s">
        <v>998</v>
      </c>
      <c r="F91" s="192" t="s">
        <v>1183</v>
      </c>
      <c r="G91" s="193">
        <v>46150</v>
      </c>
      <c r="H91" s="192" t="s">
        <v>1000</v>
      </c>
      <c r="I91" s="192" t="s">
        <v>1175</v>
      </c>
      <c r="J91" s="192" t="s">
        <v>1176</v>
      </c>
      <c r="K91" s="192" t="s">
        <v>13</v>
      </c>
      <c r="L91" s="192">
        <v>16</v>
      </c>
      <c r="M91" s="193">
        <v>46193</v>
      </c>
      <c r="N91" s="192">
        <v>16</v>
      </c>
      <c r="O91" s="192">
        <v>16</v>
      </c>
      <c r="P91" s="192">
        <v>16</v>
      </c>
      <c r="Q91" s="192">
        <v>16</v>
      </c>
      <c r="R91" s="192">
        <v>16</v>
      </c>
      <c r="S91" s="192">
        <v>16</v>
      </c>
      <c r="T91" s="192">
        <v>16</v>
      </c>
      <c r="U91" s="192">
        <f t="shared" si="22"/>
        <v>0</v>
      </c>
      <c r="V91" s="192">
        <v>16</v>
      </c>
      <c r="W91" s="192">
        <f t="shared" si="23"/>
        <v>0</v>
      </c>
      <c r="X91" s="194">
        <f t="shared" si="24"/>
        <v>0</v>
      </c>
      <c r="Y91" s="194">
        <f t="shared" si="25"/>
        <v>0</v>
      </c>
      <c r="Z91" s="194">
        <f t="shared" si="26"/>
        <v>0</v>
      </c>
      <c r="AA91" s="194">
        <f t="shared" si="27"/>
        <v>0</v>
      </c>
      <c r="AB91" s="194">
        <f t="shared" si="28"/>
        <v>0</v>
      </c>
      <c r="AC91" s="194">
        <f t="shared" si="29"/>
        <v>0</v>
      </c>
      <c r="AD91" s="194">
        <f t="shared" si="30"/>
        <v>0</v>
      </c>
      <c r="AE91" s="194">
        <f t="shared" si="31"/>
        <v>0</v>
      </c>
      <c r="AF91" s="194">
        <v>0</v>
      </c>
      <c r="AG91" s="194">
        <v>0</v>
      </c>
      <c r="AH91" s="194">
        <v>0</v>
      </c>
      <c r="AI91" s="194">
        <v>0</v>
      </c>
      <c r="AJ91" s="194">
        <v>0</v>
      </c>
      <c r="AK91" s="194">
        <f t="shared" si="32"/>
        <v>0</v>
      </c>
    </row>
    <row r="92" spans="1:37" ht="15" customHeight="1" x14ac:dyDescent="0.25">
      <c r="A92" s="192" t="s">
        <v>1184</v>
      </c>
      <c r="B92" s="192" t="s">
        <v>1185</v>
      </c>
      <c r="C92" s="192" t="s">
        <v>1186</v>
      </c>
      <c r="D92" s="192" t="s">
        <v>997</v>
      </c>
      <c r="E92" s="192" t="s">
        <v>998</v>
      </c>
      <c r="F92" s="192" t="s">
        <v>1187</v>
      </c>
      <c r="G92" s="193">
        <v>46155</v>
      </c>
      <c r="H92" s="192" t="s">
        <v>1000</v>
      </c>
      <c r="I92" s="192" t="s">
        <v>1188</v>
      </c>
      <c r="J92" s="192" t="s">
        <v>1189</v>
      </c>
      <c r="K92" s="192" t="s">
        <v>13</v>
      </c>
      <c r="L92" s="192">
        <v>6</v>
      </c>
      <c r="M92" s="193">
        <v>46198</v>
      </c>
      <c r="N92" s="192">
        <v>6</v>
      </c>
      <c r="O92" s="192">
        <v>6</v>
      </c>
      <c r="P92" s="192">
        <v>6</v>
      </c>
      <c r="Q92" s="192">
        <v>6</v>
      </c>
      <c r="R92" s="192">
        <v>6</v>
      </c>
      <c r="S92" s="192">
        <v>6</v>
      </c>
      <c r="T92" s="192">
        <v>6</v>
      </c>
      <c r="U92" s="192">
        <f t="shared" si="22"/>
        <v>0</v>
      </c>
      <c r="V92" s="192">
        <v>6</v>
      </c>
      <c r="W92" s="192">
        <f t="shared" si="23"/>
        <v>0</v>
      </c>
      <c r="X92" s="194">
        <f t="shared" si="24"/>
        <v>0</v>
      </c>
      <c r="Y92" s="194">
        <f t="shared" si="25"/>
        <v>0</v>
      </c>
      <c r="Z92" s="194">
        <f t="shared" si="26"/>
        <v>0</v>
      </c>
      <c r="AA92" s="194">
        <f t="shared" si="27"/>
        <v>0</v>
      </c>
      <c r="AB92" s="194">
        <f t="shared" si="28"/>
        <v>0</v>
      </c>
      <c r="AC92" s="194">
        <f t="shared" si="29"/>
        <v>0</v>
      </c>
      <c r="AD92" s="194">
        <f t="shared" si="30"/>
        <v>0</v>
      </c>
      <c r="AE92" s="194">
        <f t="shared" si="31"/>
        <v>0</v>
      </c>
      <c r="AF92" s="194">
        <v>0</v>
      </c>
      <c r="AG92" s="194">
        <v>0</v>
      </c>
      <c r="AH92" s="194">
        <v>0</v>
      </c>
      <c r="AI92" s="194">
        <v>0</v>
      </c>
      <c r="AJ92" s="194">
        <v>0</v>
      </c>
      <c r="AK92" s="194">
        <f t="shared" si="32"/>
        <v>0</v>
      </c>
    </row>
    <row r="93" spans="1:37" ht="15" customHeight="1" x14ac:dyDescent="0.25">
      <c r="A93" s="192" t="s">
        <v>1190</v>
      </c>
      <c r="B93" s="192" t="s">
        <v>1191</v>
      </c>
      <c r="C93" s="192" t="s">
        <v>1192</v>
      </c>
      <c r="D93" s="192" t="s">
        <v>997</v>
      </c>
      <c r="E93" s="192" t="s">
        <v>1193</v>
      </c>
      <c r="F93" s="192" t="s">
        <v>1194</v>
      </c>
      <c r="G93" s="193">
        <v>46148</v>
      </c>
      <c r="H93" s="192" t="s">
        <v>1000</v>
      </c>
      <c r="I93" s="192" t="s">
        <v>1195</v>
      </c>
      <c r="J93" s="192" t="s">
        <v>1196</v>
      </c>
      <c r="K93" s="192" t="s">
        <v>13</v>
      </c>
      <c r="L93" s="192">
        <v>63</v>
      </c>
      <c r="M93" s="193">
        <v>46155</v>
      </c>
      <c r="N93" s="192">
        <v>63</v>
      </c>
      <c r="O93" s="192">
        <v>63</v>
      </c>
      <c r="P93" s="192">
        <v>63</v>
      </c>
      <c r="Q93" s="192">
        <v>63</v>
      </c>
      <c r="R93" s="192">
        <v>63</v>
      </c>
      <c r="S93" s="192">
        <v>63</v>
      </c>
      <c r="T93" s="192">
        <v>63</v>
      </c>
      <c r="U93" s="192">
        <f t="shared" si="22"/>
        <v>0</v>
      </c>
      <c r="V93" s="192">
        <v>63</v>
      </c>
      <c r="W93" s="192">
        <f t="shared" si="23"/>
        <v>0</v>
      </c>
      <c r="X93" s="194">
        <f t="shared" si="24"/>
        <v>0</v>
      </c>
      <c r="Y93" s="194">
        <f t="shared" si="25"/>
        <v>0</v>
      </c>
      <c r="Z93" s="194">
        <f t="shared" si="26"/>
        <v>0</v>
      </c>
      <c r="AA93" s="194">
        <f t="shared" si="27"/>
        <v>0</v>
      </c>
      <c r="AB93" s="194">
        <f t="shared" si="28"/>
        <v>0</v>
      </c>
      <c r="AC93" s="194">
        <f t="shared" si="29"/>
        <v>0</v>
      </c>
      <c r="AD93" s="194">
        <f t="shared" si="30"/>
        <v>0</v>
      </c>
      <c r="AE93" s="194">
        <f t="shared" si="31"/>
        <v>0</v>
      </c>
      <c r="AF93" s="194">
        <v>0</v>
      </c>
      <c r="AG93" s="194">
        <v>0</v>
      </c>
      <c r="AH93" s="194">
        <v>0</v>
      </c>
      <c r="AI93" s="194">
        <v>0</v>
      </c>
      <c r="AJ93" s="194">
        <v>0</v>
      </c>
      <c r="AK93" s="194">
        <f t="shared" si="32"/>
        <v>0</v>
      </c>
    </row>
    <row r="94" spans="1:37" ht="15" customHeight="1" x14ac:dyDescent="0.25">
      <c r="A94" s="192" t="s">
        <v>1197</v>
      </c>
      <c r="B94" s="192" t="s">
        <v>803</v>
      </c>
      <c r="C94" s="192" t="s">
        <v>869</v>
      </c>
      <c r="D94" s="192" t="s">
        <v>997</v>
      </c>
      <c r="E94" s="192" t="s">
        <v>998</v>
      </c>
      <c r="F94" s="192" t="s">
        <v>1198</v>
      </c>
      <c r="G94" s="193">
        <v>46167</v>
      </c>
      <c r="H94" s="192" t="s">
        <v>1000</v>
      </c>
      <c r="I94" s="192" t="s">
        <v>1199</v>
      </c>
      <c r="J94" s="192" t="s">
        <v>1200</v>
      </c>
      <c r="K94" s="192" t="s">
        <v>13</v>
      </c>
      <c r="L94" s="192">
        <v>1</v>
      </c>
      <c r="M94" s="193">
        <v>46188</v>
      </c>
      <c r="N94" s="192">
        <v>1</v>
      </c>
      <c r="O94" s="192">
        <v>1</v>
      </c>
      <c r="P94" s="192">
        <v>1</v>
      </c>
      <c r="Q94" s="192">
        <v>1</v>
      </c>
      <c r="R94" s="192">
        <v>1</v>
      </c>
      <c r="S94" s="192">
        <v>1</v>
      </c>
      <c r="T94" s="192">
        <v>1</v>
      </c>
      <c r="U94" s="192">
        <f t="shared" si="22"/>
        <v>0</v>
      </c>
      <c r="V94" s="192">
        <v>1</v>
      </c>
      <c r="W94" s="192">
        <f t="shared" si="23"/>
        <v>0</v>
      </c>
      <c r="X94" s="194">
        <f t="shared" si="24"/>
        <v>0</v>
      </c>
      <c r="Y94" s="194">
        <f t="shared" si="25"/>
        <v>0</v>
      </c>
      <c r="Z94" s="194">
        <f t="shared" si="26"/>
        <v>0</v>
      </c>
      <c r="AA94" s="194">
        <f t="shared" si="27"/>
        <v>0</v>
      </c>
      <c r="AB94" s="194">
        <f t="shared" si="28"/>
        <v>0</v>
      </c>
      <c r="AC94" s="194">
        <f t="shared" si="29"/>
        <v>0</v>
      </c>
      <c r="AD94" s="194">
        <f t="shared" si="30"/>
        <v>0</v>
      </c>
      <c r="AE94" s="194">
        <f t="shared" si="31"/>
        <v>0</v>
      </c>
      <c r="AF94" s="194">
        <v>0</v>
      </c>
      <c r="AG94" s="194">
        <v>0</v>
      </c>
      <c r="AH94" s="194">
        <v>0</v>
      </c>
      <c r="AI94" s="194">
        <v>0</v>
      </c>
      <c r="AJ94" s="194">
        <v>0</v>
      </c>
      <c r="AK94" s="194">
        <f t="shared" si="32"/>
        <v>0</v>
      </c>
    </row>
    <row r="95" spans="1:37" ht="15" customHeight="1" x14ac:dyDescent="0.25">
      <c r="A95" s="192" t="s">
        <v>1197</v>
      </c>
      <c r="B95" s="192" t="s">
        <v>803</v>
      </c>
      <c r="C95" s="192" t="s">
        <v>869</v>
      </c>
      <c r="D95" s="192" t="s">
        <v>997</v>
      </c>
      <c r="E95" s="192" t="s">
        <v>998</v>
      </c>
      <c r="F95" s="192" t="s">
        <v>1198</v>
      </c>
      <c r="G95" s="193">
        <v>46167</v>
      </c>
      <c r="H95" s="192" t="s">
        <v>1000</v>
      </c>
      <c r="I95" s="192" t="s">
        <v>1201</v>
      </c>
      <c r="J95" s="192" t="s">
        <v>1202</v>
      </c>
      <c r="K95" s="192" t="s">
        <v>13</v>
      </c>
      <c r="L95" s="192">
        <v>1</v>
      </c>
      <c r="M95" s="193">
        <v>46188</v>
      </c>
      <c r="N95" s="192">
        <v>1</v>
      </c>
      <c r="O95" s="192">
        <v>1</v>
      </c>
      <c r="P95" s="192">
        <v>1</v>
      </c>
      <c r="Q95" s="192">
        <v>1</v>
      </c>
      <c r="R95" s="192">
        <v>1</v>
      </c>
      <c r="S95" s="192">
        <v>1</v>
      </c>
      <c r="T95" s="192">
        <v>1</v>
      </c>
      <c r="U95" s="192">
        <f t="shared" si="22"/>
        <v>0</v>
      </c>
      <c r="V95" s="192">
        <v>1</v>
      </c>
      <c r="W95" s="192">
        <f t="shared" si="23"/>
        <v>0</v>
      </c>
      <c r="X95" s="194">
        <f t="shared" si="24"/>
        <v>0</v>
      </c>
      <c r="Y95" s="194">
        <f t="shared" si="25"/>
        <v>0</v>
      </c>
      <c r="Z95" s="194">
        <f t="shared" si="26"/>
        <v>0</v>
      </c>
      <c r="AA95" s="194">
        <f t="shared" si="27"/>
        <v>0</v>
      </c>
      <c r="AB95" s="194">
        <f t="shared" si="28"/>
        <v>0</v>
      </c>
      <c r="AC95" s="194">
        <f t="shared" si="29"/>
        <v>0</v>
      </c>
      <c r="AD95" s="194">
        <f t="shared" si="30"/>
        <v>0</v>
      </c>
      <c r="AE95" s="194">
        <f t="shared" si="31"/>
        <v>0</v>
      </c>
      <c r="AF95" s="194">
        <v>0</v>
      </c>
      <c r="AG95" s="194">
        <v>0</v>
      </c>
      <c r="AH95" s="194">
        <v>0</v>
      </c>
      <c r="AI95" s="194">
        <v>0</v>
      </c>
      <c r="AJ95" s="194">
        <v>0</v>
      </c>
      <c r="AK95" s="194">
        <f t="shared" si="32"/>
        <v>0</v>
      </c>
    </row>
    <row r="96" spans="1:37" ht="15" customHeight="1" x14ac:dyDescent="0.25">
      <c r="A96" s="192" t="s">
        <v>1197</v>
      </c>
      <c r="B96" s="192" t="s">
        <v>803</v>
      </c>
      <c r="C96" s="192" t="s">
        <v>869</v>
      </c>
      <c r="D96" s="192" t="s">
        <v>997</v>
      </c>
      <c r="E96" s="192" t="s">
        <v>998</v>
      </c>
      <c r="F96" s="192" t="s">
        <v>1198</v>
      </c>
      <c r="G96" s="193">
        <v>46167</v>
      </c>
      <c r="H96" s="192" t="s">
        <v>1000</v>
      </c>
      <c r="I96" s="192" t="s">
        <v>1009</v>
      </c>
      <c r="J96" s="192" t="s">
        <v>1010</v>
      </c>
      <c r="K96" s="192" t="s">
        <v>13</v>
      </c>
      <c r="L96" s="192">
        <v>1</v>
      </c>
      <c r="M96" s="193">
        <v>46188</v>
      </c>
      <c r="N96" s="192">
        <v>1</v>
      </c>
      <c r="O96" s="192">
        <v>1</v>
      </c>
      <c r="P96" s="192">
        <v>1</v>
      </c>
      <c r="Q96" s="192">
        <v>1</v>
      </c>
      <c r="R96" s="192">
        <v>1</v>
      </c>
      <c r="S96" s="192">
        <v>1</v>
      </c>
      <c r="T96" s="192">
        <v>1</v>
      </c>
      <c r="U96" s="192">
        <f t="shared" si="22"/>
        <v>0</v>
      </c>
      <c r="V96" s="192">
        <v>1</v>
      </c>
      <c r="W96" s="192">
        <f t="shared" si="23"/>
        <v>0</v>
      </c>
      <c r="X96" s="194">
        <f t="shared" si="24"/>
        <v>0</v>
      </c>
      <c r="Y96" s="194">
        <f t="shared" si="25"/>
        <v>0</v>
      </c>
      <c r="Z96" s="194">
        <f t="shared" si="26"/>
        <v>0</v>
      </c>
      <c r="AA96" s="194">
        <f t="shared" si="27"/>
        <v>0</v>
      </c>
      <c r="AB96" s="194">
        <f t="shared" si="28"/>
        <v>0</v>
      </c>
      <c r="AC96" s="194">
        <f t="shared" si="29"/>
        <v>0</v>
      </c>
      <c r="AD96" s="194">
        <f t="shared" si="30"/>
        <v>0</v>
      </c>
      <c r="AE96" s="194">
        <f t="shared" si="31"/>
        <v>0</v>
      </c>
      <c r="AF96" s="194">
        <v>0</v>
      </c>
      <c r="AG96" s="194">
        <v>0</v>
      </c>
      <c r="AH96" s="194">
        <v>0</v>
      </c>
      <c r="AI96" s="194">
        <v>0</v>
      </c>
      <c r="AJ96" s="194">
        <v>0</v>
      </c>
      <c r="AK96" s="194">
        <f t="shared" si="32"/>
        <v>0</v>
      </c>
    </row>
    <row r="97" spans="1:37" ht="15" customHeight="1" x14ac:dyDescent="0.25">
      <c r="A97" s="192" t="s">
        <v>1197</v>
      </c>
      <c r="B97" s="192" t="s">
        <v>803</v>
      </c>
      <c r="C97" s="192" t="s">
        <v>869</v>
      </c>
      <c r="D97" s="192" t="s">
        <v>997</v>
      </c>
      <c r="E97" s="192" t="s">
        <v>998</v>
      </c>
      <c r="F97" s="192" t="s">
        <v>1198</v>
      </c>
      <c r="G97" s="193">
        <v>46167</v>
      </c>
      <c r="H97" s="192" t="s">
        <v>1000</v>
      </c>
      <c r="I97" s="192" t="s">
        <v>1150</v>
      </c>
      <c r="J97" s="192" t="s">
        <v>1151</v>
      </c>
      <c r="K97" s="192" t="s">
        <v>13</v>
      </c>
      <c r="L97" s="192">
        <v>1</v>
      </c>
      <c r="M97" s="193">
        <v>46188</v>
      </c>
      <c r="N97" s="192">
        <v>1</v>
      </c>
      <c r="O97" s="192">
        <v>1</v>
      </c>
      <c r="P97" s="192">
        <v>1</v>
      </c>
      <c r="Q97" s="192">
        <v>1</v>
      </c>
      <c r="R97" s="192">
        <v>1</v>
      </c>
      <c r="S97" s="192">
        <v>1</v>
      </c>
      <c r="T97" s="192">
        <v>1</v>
      </c>
      <c r="U97" s="192">
        <f t="shared" si="22"/>
        <v>0</v>
      </c>
      <c r="V97" s="192">
        <v>1</v>
      </c>
      <c r="W97" s="192">
        <f t="shared" si="23"/>
        <v>0</v>
      </c>
      <c r="X97" s="194">
        <f t="shared" si="24"/>
        <v>0</v>
      </c>
      <c r="Y97" s="194">
        <f t="shared" si="25"/>
        <v>0</v>
      </c>
      <c r="Z97" s="194">
        <f t="shared" si="26"/>
        <v>0</v>
      </c>
      <c r="AA97" s="194">
        <f t="shared" si="27"/>
        <v>0</v>
      </c>
      <c r="AB97" s="194">
        <f t="shared" si="28"/>
        <v>0</v>
      </c>
      <c r="AC97" s="194">
        <f t="shared" si="29"/>
        <v>0</v>
      </c>
      <c r="AD97" s="194">
        <f t="shared" si="30"/>
        <v>0</v>
      </c>
      <c r="AE97" s="194">
        <f t="shared" si="31"/>
        <v>0</v>
      </c>
      <c r="AF97" s="194">
        <v>0</v>
      </c>
      <c r="AG97" s="194">
        <v>0</v>
      </c>
      <c r="AH97" s="194">
        <v>0</v>
      </c>
      <c r="AI97" s="194">
        <v>0</v>
      </c>
      <c r="AJ97" s="194">
        <v>0</v>
      </c>
      <c r="AK97" s="194">
        <f t="shared" si="32"/>
        <v>0</v>
      </c>
    </row>
    <row r="98" spans="1:37" ht="15" customHeight="1" x14ac:dyDescent="0.25">
      <c r="A98" s="192" t="s">
        <v>1197</v>
      </c>
      <c r="B98" s="192" t="s">
        <v>803</v>
      </c>
      <c r="C98" s="192" t="s">
        <v>869</v>
      </c>
      <c r="D98" s="192" t="s">
        <v>997</v>
      </c>
      <c r="E98" s="192" t="s">
        <v>998</v>
      </c>
      <c r="F98" s="192" t="s">
        <v>1198</v>
      </c>
      <c r="G98" s="193">
        <v>46167</v>
      </c>
      <c r="H98" s="192" t="s">
        <v>1000</v>
      </c>
      <c r="I98" s="192" t="s">
        <v>1203</v>
      </c>
      <c r="J98" s="192" t="s">
        <v>1204</v>
      </c>
      <c r="K98" s="192" t="s">
        <v>13</v>
      </c>
      <c r="L98" s="192">
        <v>1</v>
      </c>
      <c r="M98" s="193">
        <v>46188</v>
      </c>
      <c r="N98" s="192">
        <v>1</v>
      </c>
      <c r="O98" s="192">
        <v>1</v>
      </c>
      <c r="P98" s="192">
        <v>1</v>
      </c>
      <c r="Q98" s="192">
        <v>1</v>
      </c>
      <c r="R98" s="192">
        <v>1</v>
      </c>
      <c r="S98" s="192">
        <v>1</v>
      </c>
      <c r="T98" s="192">
        <v>1</v>
      </c>
      <c r="U98" s="192">
        <f t="shared" ref="U98:U129" si="33">L98-T98</f>
        <v>0</v>
      </c>
      <c r="V98" s="192">
        <v>1</v>
      </c>
      <c r="W98" s="192">
        <f t="shared" ref="W98:W129" si="34">T98-V98</f>
        <v>0</v>
      </c>
      <c r="X98" s="194">
        <f t="shared" ref="X98:X129" si="35">IF(N98-O98&gt;0,1,0)</f>
        <v>0</v>
      </c>
      <c r="Y98" s="194">
        <f t="shared" ref="Y98:Y129" si="36">IF(O98-P98&gt;0,1,0)</f>
        <v>0</v>
      </c>
      <c r="Z98" s="194">
        <f t="shared" ref="Z98:Z129" si="37">IF(P98-Q98&gt;0,1,0)</f>
        <v>0</v>
      </c>
      <c r="AA98" s="194">
        <f t="shared" ref="AA98:AA129" si="38">IF(Q98-R98&gt;0,1,0)</f>
        <v>0</v>
      </c>
      <c r="AB98" s="194">
        <f t="shared" ref="AB98:AB129" si="39">IF(R98-S98&gt;0,1,0)</f>
        <v>0</v>
      </c>
      <c r="AC98" s="194">
        <f t="shared" ref="AC98:AC129" si="40">IF(S98-T98&gt;0,1,0)</f>
        <v>0</v>
      </c>
      <c r="AD98" s="194">
        <f t="shared" ref="AD98:AD129" si="41">IF(L98-V98&gt;0,1,0)</f>
        <v>0</v>
      </c>
      <c r="AE98" s="194">
        <f t="shared" ref="AE98:AE129" si="42">IF(L98-T98&gt;0,1,0)</f>
        <v>0</v>
      </c>
      <c r="AF98" s="194">
        <v>0</v>
      </c>
      <c r="AG98" s="194">
        <v>0</v>
      </c>
      <c r="AH98" s="194">
        <v>0</v>
      </c>
      <c r="AI98" s="194">
        <v>0</v>
      </c>
      <c r="AJ98" s="194">
        <v>0</v>
      </c>
      <c r="AK98" s="194">
        <f t="shared" ref="AK98:AK129" si="43">IF(T98-V98&gt;0,1,0)</f>
        <v>0</v>
      </c>
    </row>
    <row r="99" spans="1:37" ht="15" customHeight="1" x14ac:dyDescent="0.25">
      <c r="A99" s="192" t="s">
        <v>1197</v>
      </c>
      <c r="B99" s="192" t="s">
        <v>803</v>
      </c>
      <c r="C99" s="192" t="s">
        <v>869</v>
      </c>
      <c r="D99" s="192" t="s">
        <v>997</v>
      </c>
      <c r="E99" s="192" t="s">
        <v>998</v>
      </c>
      <c r="F99" s="192" t="s">
        <v>1198</v>
      </c>
      <c r="G99" s="193">
        <v>46167</v>
      </c>
      <c r="H99" s="192" t="s">
        <v>1000</v>
      </c>
      <c r="I99" s="192" t="s">
        <v>1205</v>
      </c>
      <c r="J99" s="192" t="s">
        <v>1206</v>
      </c>
      <c r="K99" s="192" t="s">
        <v>13</v>
      </c>
      <c r="L99" s="192">
        <v>1</v>
      </c>
      <c r="M99" s="193">
        <v>46188</v>
      </c>
      <c r="N99" s="192">
        <v>1</v>
      </c>
      <c r="O99" s="192">
        <v>1</v>
      </c>
      <c r="P99" s="192">
        <v>1</v>
      </c>
      <c r="Q99" s="192">
        <v>1</v>
      </c>
      <c r="R99" s="192">
        <v>1</v>
      </c>
      <c r="S99" s="192">
        <v>1</v>
      </c>
      <c r="T99" s="192">
        <v>1</v>
      </c>
      <c r="U99" s="192">
        <f t="shared" si="33"/>
        <v>0</v>
      </c>
      <c r="V99" s="192">
        <v>1</v>
      </c>
      <c r="W99" s="192">
        <f t="shared" si="34"/>
        <v>0</v>
      </c>
      <c r="X99" s="194">
        <f t="shared" si="35"/>
        <v>0</v>
      </c>
      <c r="Y99" s="194">
        <f t="shared" si="36"/>
        <v>0</v>
      </c>
      <c r="Z99" s="194">
        <f t="shared" si="37"/>
        <v>0</v>
      </c>
      <c r="AA99" s="194">
        <f t="shared" si="38"/>
        <v>0</v>
      </c>
      <c r="AB99" s="194">
        <f t="shared" si="39"/>
        <v>0</v>
      </c>
      <c r="AC99" s="194">
        <f t="shared" si="40"/>
        <v>0</v>
      </c>
      <c r="AD99" s="194">
        <f t="shared" si="41"/>
        <v>0</v>
      </c>
      <c r="AE99" s="194">
        <f t="shared" si="42"/>
        <v>0</v>
      </c>
      <c r="AF99" s="194">
        <v>0</v>
      </c>
      <c r="AG99" s="194">
        <v>0</v>
      </c>
      <c r="AH99" s="194">
        <v>0</v>
      </c>
      <c r="AI99" s="194">
        <v>0</v>
      </c>
      <c r="AJ99" s="194">
        <v>0</v>
      </c>
      <c r="AK99" s="194">
        <f t="shared" si="43"/>
        <v>0</v>
      </c>
    </row>
    <row r="100" spans="1:37" ht="15" customHeight="1" x14ac:dyDescent="0.25">
      <c r="A100" s="192" t="s">
        <v>1197</v>
      </c>
      <c r="B100" s="192" t="s">
        <v>803</v>
      </c>
      <c r="C100" s="192" t="s">
        <v>869</v>
      </c>
      <c r="D100" s="192" t="s">
        <v>997</v>
      </c>
      <c r="E100" s="192" t="s">
        <v>998</v>
      </c>
      <c r="F100" s="192" t="s">
        <v>1198</v>
      </c>
      <c r="G100" s="193">
        <v>46167</v>
      </c>
      <c r="H100" s="192" t="s">
        <v>1000</v>
      </c>
      <c r="I100" s="192" t="s">
        <v>1207</v>
      </c>
      <c r="J100" s="192" t="s">
        <v>1208</v>
      </c>
      <c r="K100" s="192" t="s">
        <v>13</v>
      </c>
      <c r="L100" s="192">
        <v>1</v>
      </c>
      <c r="M100" s="193">
        <v>46188</v>
      </c>
      <c r="N100" s="192">
        <v>1</v>
      </c>
      <c r="O100" s="192">
        <v>1</v>
      </c>
      <c r="P100" s="192">
        <v>1</v>
      </c>
      <c r="Q100" s="192">
        <v>1</v>
      </c>
      <c r="R100" s="192">
        <v>1</v>
      </c>
      <c r="S100" s="192">
        <v>1</v>
      </c>
      <c r="T100" s="192">
        <v>1</v>
      </c>
      <c r="U100" s="192">
        <f t="shared" si="33"/>
        <v>0</v>
      </c>
      <c r="V100" s="192">
        <v>1</v>
      </c>
      <c r="W100" s="192">
        <f t="shared" si="34"/>
        <v>0</v>
      </c>
      <c r="X100" s="194">
        <f t="shared" si="35"/>
        <v>0</v>
      </c>
      <c r="Y100" s="194">
        <f t="shared" si="36"/>
        <v>0</v>
      </c>
      <c r="Z100" s="194">
        <f t="shared" si="37"/>
        <v>0</v>
      </c>
      <c r="AA100" s="194">
        <f t="shared" si="38"/>
        <v>0</v>
      </c>
      <c r="AB100" s="194">
        <f t="shared" si="39"/>
        <v>0</v>
      </c>
      <c r="AC100" s="194">
        <f t="shared" si="40"/>
        <v>0</v>
      </c>
      <c r="AD100" s="194">
        <f t="shared" si="41"/>
        <v>0</v>
      </c>
      <c r="AE100" s="194">
        <f t="shared" si="42"/>
        <v>0</v>
      </c>
      <c r="AF100" s="194">
        <v>0</v>
      </c>
      <c r="AG100" s="194">
        <v>0</v>
      </c>
      <c r="AH100" s="194">
        <v>0</v>
      </c>
      <c r="AI100" s="194">
        <v>0</v>
      </c>
      <c r="AJ100" s="194">
        <v>0</v>
      </c>
      <c r="AK100" s="194">
        <f t="shared" si="43"/>
        <v>0</v>
      </c>
    </row>
    <row r="101" spans="1:37" ht="15" customHeight="1" x14ac:dyDescent="0.25">
      <c r="A101" s="192" t="s">
        <v>1197</v>
      </c>
      <c r="B101" s="192" t="s">
        <v>803</v>
      </c>
      <c r="C101" s="192" t="s">
        <v>869</v>
      </c>
      <c r="D101" s="192" t="s">
        <v>997</v>
      </c>
      <c r="E101" s="192" t="s">
        <v>998</v>
      </c>
      <c r="F101" s="192" t="s">
        <v>1198</v>
      </c>
      <c r="G101" s="193">
        <v>46167</v>
      </c>
      <c r="H101" s="192" t="s">
        <v>1000</v>
      </c>
      <c r="I101" s="192" t="s">
        <v>1142</v>
      </c>
      <c r="J101" s="192" t="s">
        <v>1143</v>
      </c>
      <c r="K101" s="192" t="s">
        <v>13</v>
      </c>
      <c r="L101" s="192">
        <v>1</v>
      </c>
      <c r="M101" s="193">
        <v>46188</v>
      </c>
      <c r="N101" s="192">
        <v>1</v>
      </c>
      <c r="O101" s="192">
        <v>1</v>
      </c>
      <c r="P101" s="192">
        <v>1</v>
      </c>
      <c r="Q101" s="192">
        <v>1</v>
      </c>
      <c r="R101" s="192">
        <v>1</v>
      </c>
      <c r="S101" s="192">
        <v>1</v>
      </c>
      <c r="T101" s="192">
        <v>1</v>
      </c>
      <c r="U101" s="192">
        <f t="shared" si="33"/>
        <v>0</v>
      </c>
      <c r="V101" s="192">
        <v>1</v>
      </c>
      <c r="W101" s="192">
        <f t="shared" si="34"/>
        <v>0</v>
      </c>
      <c r="X101" s="194">
        <f t="shared" si="35"/>
        <v>0</v>
      </c>
      <c r="Y101" s="194">
        <f t="shared" si="36"/>
        <v>0</v>
      </c>
      <c r="Z101" s="194">
        <f t="shared" si="37"/>
        <v>0</v>
      </c>
      <c r="AA101" s="194">
        <f t="shared" si="38"/>
        <v>0</v>
      </c>
      <c r="AB101" s="194">
        <f t="shared" si="39"/>
        <v>0</v>
      </c>
      <c r="AC101" s="194">
        <f t="shared" si="40"/>
        <v>0</v>
      </c>
      <c r="AD101" s="194">
        <f t="shared" si="41"/>
        <v>0</v>
      </c>
      <c r="AE101" s="194">
        <f t="shared" si="42"/>
        <v>0</v>
      </c>
      <c r="AF101" s="194">
        <v>0</v>
      </c>
      <c r="AG101" s="194">
        <v>0</v>
      </c>
      <c r="AH101" s="194">
        <v>0</v>
      </c>
      <c r="AI101" s="194">
        <v>0</v>
      </c>
      <c r="AJ101" s="194">
        <v>0</v>
      </c>
      <c r="AK101" s="194">
        <f t="shared" si="43"/>
        <v>0</v>
      </c>
    </row>
    <row r="102" spans="1:37" ht="15" customHeight="1" x14ac:dyDescent="0.25">
      <c r="A102" s="192" t="s">
        <v>1209</v>
      </c>
      <c r="B102" s="192" t="s">
        <v>1210</v>
      </c>
      <c r="C102" s="192" t="s">
        <v>692</v>
      </c>
      <c r="D102" s="192" t="s">
        <v>1160</v>
      </c>
      <c r="E102" s="192" t="s">
        <v>998</v>
      </c>
      <c r="F102" s="192" t="s">
        <v>1211</v>
      </c>
      <c r="G102" s="193">
        <v>46165</v>
      </c>
      <c r="H102" s="192" t="s">
        <v>1000</v>
      </c>
      <c r="I102" s="192" t="s">
        <v>1201</v>
      </c>
      <c r="J102" s="192" t="s">
        <v>1202</v>
      </c>
      <c r="K102" s="192" t="s">
        <v>13</v>
      </c>
      <c r="L102" s="192">
        <v>4</v>
      </c>
      <c r="M102" s="193">
        <v>46218</v>
      </c>
      <c r="N102" s="192">
        <v>4</v>
      </c>
      <c r="O102" s="192">
        <v>4</v>
      </c>
      <c r="P102" s="192">
        <v>4</v>
      </c>
      <c r="Q102" s="192">
        <v>4</v>
      </c>
      <c r="R102" s="192">
        <v>4</v>
      </c>
      <c r="S102" s="192">
        <v>4</v>
      </c>
      <c r="T102" s="192">
        <v>4</v>
      </c>
      <c r="U102" s="192">
        <f t="shared" si="33"/>
        <v>0</v>
      </c>
      <c r="V102" s="192">
        <v>4</v>
      </c>
      <c r="W102" s="192">
        <f t="shared" si="34"/>
        <v>0</v>
      </c>
      <c r="X102" s="194">
        <f t="shared" si="35"/>
        <v>0</v>
      </c>
      <c r="Y102" s="194">
        <f t="shared" si="36"/>
        <v>0</v>
      </c>
      <c r="Z102" s="194">
        <f t="shared" si="37"/>
        <v>0</v>
      </c>
      <c r="AA102" s="194">
        <f t="shared" si="38"/>
        <v>0</v>
      </c>
      <c r="AB102" s="194">
        <f t="shared" si="39"/>
        <v>0</v>
      </c>
      <c r="AC102" s="194">
        <f t="shared" si="40"/>
        <v>0</v>
      </c>
      <c r="AD102" s="194">
        <f t="shared" si="41"/>
        <v>0</v>
      </c>
      <c r="AE102" s="194">
        <f t="shared" si="42"/>
        <v>0</v>
      </c>
      <c r="AF102" s="194">
        <v>0</v>
      </c>
      <c r="AG102" s="194">
        <v>0</v>
      </c>
      <c r="AH102" s="194">
        <v>0</v>
      </c>
      <c r="AI102" s="194">
        <v>0</v>
      </c>
      <c r="AJ102" s="194">
        <v>0</v>
      </c>
      <c r="AK102" s="194">
        <f t="shared" si="43"/>
        <v>0</v>
      </c>
    </row>
    <row r="103" spans="1:37" ht="15" customHeight="1" x14ac:dyDescent="0.25">
      <c r="A103" s="192" t="s">
        <v>1212</v>
      </c>
      <c r="B103" s="192" t="s">
        <v>748</v>
      </c>
      <c r="C103" s="192" t="s">
        <v>692</v>
      </c>
      <c r="D103" s="192" t="s">
        <v>1160</v>
      </c>
      <c r="E103" s="192" t="s">
        <v>998</v>
      </c>
      <c r="F103" s="192" t="s">
        <v>1213</v>
      </c>
      <c r="G103" s="193">
        <v>46165</v>
      </c>
      <c r="H103" s="192" t="s">
        <v>1000</v>
      </c>
      <c r="I103" s="192" t="s">
        <v>1028</v>
      </c>
      <c r="J103" s="192" t="s">
        <v>1029</v>
      </c>
      <c r="K103" s="192" t="s">
        <v>15</v>
      </c>
      <c r="L103" s="192">
        <v>14</v>
      </c>
      <c r="M103" s="193">
        <v>46203</v>
      </c>
      <c r="N103" s="192">
        <v>14</v>
      </c>
      <c r="O103" s="192">
        <v>14</v>
      </c>
      <c r="P103" s="192">
        <v>14</v>
      </c>
      <c r="Q103" s="192">
        <v>14</v>
      </c>
      <c r="R103" s="192">
        <v>14</v>
      </c>
      <c r="S103" s="192">
        <v>14</v>
      </c>
      <c r="T103" s="192">
        <v>14</v>
      </c>
      <c r="U103" s="192">
        <f t="shared" si="33"/>
        <v>0</v>
      </c>
      <c r="V103" s="192">
        <v>14</v>
      </c>
      <c r="W103" s="192">
        <f t="shared" si="34"/>
        <v>0</v>
      </c>
      <c r="X103" s="194">
        <f t="shared" si="35"/>
        <v>0</v>
      </c>
      <c r="Y103" s="194">
        <f t="shared" si="36"/>
        <v>0</v>
      </c>
      <c r="Z103" s="194">
        <f t="shared" si="37"/>
        <v>0</v>
      </c>
      <c r="AA103" s="194">
        <f t="shared" si="38"/>
        <v>0</v>
      </c>
      <c r="AB103" s="194">
        <f t="shared" si="39"/>
        <v>0</v>
      </c>
      <c r="AC103" s="194">
        <f t="shared" si="40"/>
        <v>0</v>
      </c>
      <c r="AD103" s="194">
        <f t="shared" si="41"/>
        <v>0</v>
      </c>
      <c r="AE103" s="194">
        <f t="shared" si="42"/>
        <v>0</v>
      </c>
      <c r="AF103" s="194">
        <v>0</v>
      </c>
      <c r="AG103" s="194">
        <v>0</v>
      </c>
      <c r="AH103" s="194">
        <v>0</v>
      </c>
      <c r="AI103" s="194">
        <v>0</v>
      </c>
      <c r="AJ103" s="194">
        <v>0</v>
      </c>
      <c r="AK103" s="194">
        <f t="shared" si="43"/>
        <v>0</v>
      </c>
    </row>
    <row r="104" spans="1:37" ht="15" customHeight="1" x14ac:dyDescent="0.25">
      <c r="A104" s="192" t="s">
        <v>1214</v>
      </c>
      <c r="B104" s="192" t="s">
        <v>621</v>
      </c>
      <c r="C104" s="192" t="s">
        <v>692</v>
      </c>
      <c r="D104" s="192" t="s">
        <v>1160</v>
      </c>
      <c r="E104" s="192" t="s">
        <v>998</v>
      </c>
      <c r="F104" s="192" t="s">
        <v>1215</v>
      </c>
      <c r="G104" s="193">
        <v>46174</v>
      </c>
      <c r="H104" s="192" t="s">
        <v>1000</v>
      </c>
      <c r="I104" s="192" t="s">
        <v>1013</v>
      </c>
      <c r="J104" s="192" t="s">
        <v>1014</v>
      </c>
      <c r="K104" s="192" t="s">
        <v>13</v>
      </c>
      <c r="L104" s="192">
        <v>20</v>
      </c>
      <c r="M104" s="193">
        <v>46203</v>
      </c>
      <c r="N104" s="192">
        <v>20</v>
      </c>
      <c r="O104" s="192">
        <v>20</v>
      </c>
      <c r="P104" s="192">
        <v>20</v>
      </c>
      <c r="Q104" s="192">
        <v>20</v>
      </c>
      <c r="R104" s="192">
        <v>20</v>
      </c>
      <c r="S104" s="192">
        <v>20</v>
      </c>
      <c r="T104" s="192">
        <v>20</v>
      </c>
      <c r="U104" s="192">
        <f t="shared" si="33"/>
        <v>0</v>
      </c>
      <c r="V104" s="192">
        <v>20</v>
      </c>
      <c r="W104" s="192">
        <f t="shared" si="34"/>
        <v>0</v>
      </c>
      <c r="X104" s="194">
        <f t="shared" si="35"/>
        <v>0</v>
      </c>
      <c r="Y104" s="194">
        <f t="shared" si="36"/>
        <v>0</v>
      </c>
      <c r="Z104" s="194">
        <f t="shared" si="37"/>
        <v>0</v>
      </c>
      <c r="AA104" s="194">
        <f t="shared" si="38"/>
        <v>0</v>
      </c>
      <c r="AB104" s="194">
        <f t="shared" si="39"/>
        <v>0</v>
      </c>
      <c r="AC104" s="194">
        <f t="shared" si="40"/>
        <v>0</v>
      </c>
      <c r="AD104" s="194">
        <f t="shared" si="41"/>
        <v>0</v>
      </c>
      <c r="AE104" s="194">
        <f t="shared" si="42"/>
        <v>0</v>
      </c>
      <c r="AF104" s="194">
        <v>0</v>
      </c>
      <c r="AG104" s="194">
        <v>0</v>
      </c>
      <c r="AH104" s="194">
        <v>0</v>
      </c>
      <c r="AI104" s="194">
        <v>0</v>
      </c>
      <c r="AJ104" s="194">
        <v>0</v>
      </c>
      <c r="AK104" s="194">
        <f t="shared" si="43"/>
        <v>0</v>
      </c>
    </row>
    <row r="105" spans="1:37" ht="15" customHeight="1" x14ac:dyDescent="0.25">
      <c r="A105" s="192" t="s">
        <v>1216</v>
      </c>
      <c r="B105" s="192" t="s">
        <v>576</v>
      </c>
      <c r="C105" s="192" t="s">
        <v>1217</v>
      </c>
      <c r="D105" s="192" t="s">
        <v>997</v>
      </c>
      <c r="E105" s="192" t="s">
        <v>998</v>
      </c>
      <c r="F105" s="192" t="s">
        <v>1218</v>
      </c>
      <c r="G105" s="193">
        <v>46165</v>
      </c>
      <c r="H105" s="192" t="s">
        <v>1000</v>
      </c>
      <c r="I105" s="192" t="s">
        <v>1140</v>
      </c>
      <c r="J105" s="192" t="s">
        <v>1141</v>
      </c>
      <c r="K105" s="192" t="s">
        <v>13</v>
      </c>
      <c r="L105" s="192">
        <v>2</v>
      </c>
      <c r="M105" s="193">
        <v>46218</v>
      </c>
      <c r="N105" s="192">
        <v>2</v>
      </c>
      <c r="O105" s="192">
        <v>2</v>
      </c>
      <c r="P105" s="192">
        <v>2</v>
      </c>
      <c r="Q105" s="192">
        <v>2</v>
      </c>
      <c r="R105" s="192">
        <v>2</v>
      </c>
      <c r="S105" s="192">
        <v>2</v>
      </c>
      <c r="T105" s="192">
        <v>2</v>
      </c>
      <c r="U105" s="192">
        <f t="shared" si="33"/>
        <v>0</v>
      </c>
      <c r="V105" s="192">
        <v>2</v>
      </c>
      <c r="W105" s="192">
        <f t="shared" si="34"/>
        <v>0</v>
      </c>
      <c r="X105" s="194">
        <f t="shared" si="35"/>
        <v>0</v>
      </c>
      <c r="Y105" s="194">
        <f t="shared" si="36"/>
        <v>0</v>
      </c>
      <c r="Z105" s="194">
        <f t="shared" si="37"/>
        <v>0</v>
      </c>
      <c r="AA105" s="194">
        <f t="shared" si="38"/>
        <v>0</v>
      </c>
      <c r="AB105" s="194">
        <f t="shared" si="39"/>
        <v>0</v>
      </c>
      <c r="AC105" s="194">
        <f t="shared" si="40"/>
        <v>0</v>
      </c>
      <c r="AD105" s="194">
        <f t="shared" si="41"/>
        <v>0</v>
      </c>
      <c r="AE105" s="194">
        <f t="shared" si="42"/>
        <v>0</v>
      </c>
      <c r="AF105" s="194">
        <v>0</v>
      </c>
      <c r="AG105" s="194">
        <v>0</v>
      </c>
      <c r="AH105" s="194">
        <v>0</v>
      </c>
      <c r="AI105" s="194">
        <v>0</v>
      </c>
      <c r="AJ105" s="194">
        <v>0</v>
      </c>
      <c r="AK105" s="194">
        <f t="shared" si="43"/>
        <v>0</v>
      </c>
    </row>
    <row r="106" spans="1:37" ht="15" customHeight="1" x14ac:dyDescent="0.25">
      <c r="A106" s="192" t="s">
        <v>1216</v>
      </c>
      <c r="B106" s="192" t="s">
        <v>576</v>
      </c>
      <c r="C106" s="192" t="s">
        <v>1217</v>
      </c>
      <c r="D106" s="192" t="s">
        <v>997</v>
      </c>
      <c r="E106" s="192" t="s">
        <v>998</v>
      </c>
      <c r="F106" s="192" t="s">
        <v>1218</v>
      </c>
      <c r="G106" s="193">
        <v>46165</v>
      </c>
      <c r="H106" s="192" t="s">
        <v>1000</v>
      </c>
      <c r="I106" s="192" t="s">
        <v>1207</v>
      </c>
      <c r="J106" s="192" t="s">
        <v>1208</v>
      </c>
      <c r="K106" s="192" t="s">
        <v>13</v>
      </c>
      <c r="L106" s="192">
        <v>4</v>
      </c>
      <c r="M106" s="193">
        <v>46218</v>
      </c>
      <c r="N106" s="192">
        <v>4</v>
      </c>
      <c r="O106" s="192">
        <v>4</v>
      </c>
      <c r="P106" s="192">
        <v>4</v>
      </c>
      <c r="Q106" s="192">
        <v>4</v>
      </c>
      <c r="R106" s="192">
        <v>4</v>
      </c>
      <c r="S106" s="192">
        <v>4</v>
      </c>
      <c r="T106" s="192">
        <v>4</v>
      </c>
      <c r="U106" s="192">
        <f t="shared" si="33"/>
        <v>0</v>
      </c>
      <c r="V106" s="192">
        <v>4</v>
      </c>
      <c r="W106" s="192">
        <f t="shared" si="34"/>
        <v>0</v>
      </c>
      <c r="X106" s="194">
        <f t="shared" si="35"/>
        <v>0</v>
      </c>
      <c r="Y106" s="194">
        <f t="shared" si="36"/>
        <v>0</v>
      </c>
      <c r="Z106" s="194">
        <f t="shared" si="37"/>
        <v>0</v>
      </c>
      <c r="AA106" s="194">
        <f t="shared" si="38"/>
        <v>0</v>
      </c>
      <c r="AB106" s="194">
        <f t="shared" si="39"/>
        <v>0</v>
      </c>
      <c r="AC106" s="194">
        <f t="shared" si="40"/>
        <v>0</v>
      </c>
      <c r="AD106" s="194">
        <f t="shared" si="41"/>
        <v>0</v>
      </c>
      <c r="AE106" s="194">
        <f t="shared" si="42"/>
        <v>0</v>
      </c>
      <c r="AF106" s="194">
        <v>0</v>
      </c>
      <c r="AG106" s="194">
        <v>0</v>
      </c>
      <c r="AH106" s="194">
        <v>0</v>
      </c>
      <c r="AI106" s="194">
        <v>0</v>
      </c>
      <c r="AJ106" s="194">
        <v>0</v>
      </c>
      <c r="AK106" s="194">
        <f t="shared" si="43"/>
        <v>0</v>
      </c>
    </row>
    <row r="107" spans="1:37" ht="15" customHeight="1" x14ac:dyDescent="0.25">
      <c r="A107" s="192" t="s">
        <v>1216</v>
      </c>
      <c r="B107" s="192" t="s">
        <v>576</v>
      </c>
      <c r="C107" s="192" t="s">
        <v>1217</v>
      </c>
      <c r="D107" s="192" t="s">
        <v>997</v>
      </c>
      <c r="E107" s="192" t="s">
        <v>998</v>
      </c>
      <c r="F107" s="192" t="s">
        <v>1218</v>
      </c>
      <c r="G107" s="193">
        <v>46165</v>
      </c>
      <c r="H107" s="192" t="s">
        <v>1000</v>
      </c>
      <c r="I107" s="195" t="s">
        <v>1219</v>
      </c>
      <c r="J107" s="192" t="s">
        <v>1220</v>
      </c>
      <c r="K107" s="192" t="s">
        <v>13</v>
      </c>
      <c r="L107" s="192">
        <v>44</v>
      </c>
      <c r="M107" s="193">
        <v>46218</v>
      </c>
      <c r="N107" s="192">
        <v>44</v>
      </c>
      <c r="O107" s="192">
        <v>44</v>
      </c>
      <c r="P107" s="192">
        <v>44</v>
      </c>
      <c r="Q107" s="192">
        <v>44</v>
      </c>
      <c r="R107" s="192">
        <v>44</v>
      </c>
      <c r="S107" s="192">
        <v>44</v>
      </c>
      <c r="T107" s="192">
        <v>44</v>
      </c>
      <c r="U107" s="192">
        <f t="shared" si="33"/>
        <v>0</v>
      </c>
      <c r="V107" s="192">
        <v>44</v>
      </c>
      <c r="W107" s="192">
        <f t="shared" si="34"/>
        <v>0</v>
      </c>
      <c r="X107" s="194">
        <f t="shared" si="35"/>
        <v>0</v>
      </c>
      <c r="Y107" s="194">
        <f t="shared" si="36"/>
        <v>0</v>
      </c>
      <c r="Z107" s="194">
        <f t="shared" si="37"/>
        <v>0</v>
      </c>
      <c r="AA107" s="194">
        <f t="shared" si="38"/>
        <v>0</v>
      </c>
      <c r="AB107" s="194">
        <f t="shared" si="39"/>
        <v>0</v>
      </c>
      <c r="AC107" s="194">
        <f t="shared" si="40"/>
        <v>0</v>
      </c>
      <c r="AD107" s="194">
        <f t="shared" si="41"/>
        <v>0</v>
      </c>
      <c r="AE107" s="194">
        <f t="shared" si="42"/>
        <v>0</v>
      </c>
      <c r="AF107" s="194">
        <v>0</v>
      </c>
      <c r="AG107" s="194">
        <v>0</v>
      </c>
      <c r="AH107" s="194">
        <v>0</v>
      </c>
      <c r="AI107" s="194">
        <v>0</v>
      </c>
      <c r="AJ107" s="194">
        <v>0</v>
      </c>
      <c r="AK107" s="194">
        <f t="shared" si="43"/>
        <v>0</v>
      </c>
    </row>
    <row r="108" spans="1:37" ht="15" customHeight="1" x14ac:dyDescent="0.25">
      <c r="A108" s="192" t="s">
        <v>1216</v>
      </c>
      <c r="B108" s="192" t="s">
        <v>576</v>
      </c>
      <c r="C108" s="192" t="s">
        <v>1217</v>
      </c>
      <c r="D108" s="192" t="s">
        <v>997</v>
      </c>
      <c r="E108" s="192" t="s">
        <v>998</v>
      </c>
      <c r="F108" s="192" t="s">
        <v>1218</v>
      </c>
      <c r="G108" s="193">
        <v>46165</v>
      </c>
      <c r="H108" s="192" t="s">
        <v>1000</v>
      </c>
      <c r="I108" s="192" t="s">
        <v>1116</v>
      </c>
      <c r="J108" s="192" t="s">
        <v>1117</v>
      </c>
      <c r="K108" s="192" t="s">
        <v>13</v>
      </c>
      <c r="L108" s="192">
        <v>12</v>
      </c>
      <c r="M108" s="193">
        <v>46218</v>
      </c>
      <c r="N108" s="192">
        <v>12</v>
      </c>
      <c r="O108" s="192">
        <v>12</v>
      </c>
      <c r="P108" s="192">
        <v>12</v>
      </c>
      <c r="Q108" s="192">
        <v>12</v>
      </c>
      <c r="R108" s="192">
        <v>12</v>
      </c>
      <c r="S108" s="192">
        <v>12</v>
      </c>
      <c r="T108" s="192">
        <v>12</v>
      </c>
      <c r="U108" s="192">
        <f t="shared" si="33"/>
        <v>0</v>
      </c>
      <c r="V108" s="192">
        <v>12</v>
      </c>
      <c r="W108" s="192">
        <f t="shared" si="34"/>
        <v>0</v>
      </c>
      <c r="X108" s="194">
        <f t="shared" si="35"/>
        <v>0</v>
      </c>
      <c r="Y108" s="194">
        <f t="shared" si="36"/>
        <v>0</v>
      </c>
      <c r="Z108" s="194">
        <f t="shared" si="37"/>
        <v>0</v>
      </c>
      <c r="AA108" s="194">
        <f t="shared" si="38"/>
        <v>0</v>
      </c>
      <c r="AB108" s="194">
        <f t="shared" si="39"/>
        <v>0</v>
      </c>
      <c r="AC108" s="194">
        <f t="shared" si="40"/>
        <v>0</v>
      </c>
      <c r="AD108" s="194">
        <f t="shared" si="41"/>
        <v>0</v>
      </c>
      <c r="AE108" s="194">
        <f t="shared" si="42"/>
        <v>0</v>
      </c>
      <c r="AF108" s="194">
        <v>0</v>
      </c>
      <c r="AG108" s="194">
        <v>0</v>
      </c>
      <c r="AH108" s="194">
        <v>0</v>
      </c>
      <c r="AI108" s="194">
        <v>0</v>
      </c>
      <c r="AJ108" s="194">
        <v>0</v>
      </c>
      <c r="AK108" s="194">
        <f t="shared" si="43"/>
        <v>0</v>
      </c>
    </row>
    <row r="109" spans="1:37" ht="15" customHeight="1" x14ac:dyDescent="0.25">
      <c r="A109" s="192" t="s">
        <v>1216</v>
      </c>
      <c r="B109" s="192" t="s">
        <v>576</v>
      </c>
      <c r="C109" s="192" t="s">
        <v>1217</v>
      </c>
      <c r="D109" s="192" t="s">
        <v>997</v>
      </c>
      <c r="E109" s="192" t="s">
        <v>998</v>
      </c>
      <c r="F109" s="192" t="s">
        <v>1218</v>
      </c>
      <c r="G109" s="193">
        <v>46165</v>
      </c>
      <c r="H109" s="192" t="s">
        <v>1000</v>
      </c>
      <c r="I109" s="192" t="s">
        <v>1013</v>
      </c>
      <c r="J109" s="192" t="s">
        <v>1014</v>
      </c>
      <c r="K109" s="192" t="s">
        <v>13</v>
      </c>
      <c r="L109" s="192">
        <v>12</v>
      </c>
      <c r="M109" s="193">
        <v>46218</v>
      </c>
      <c r="N109" s="192">
        <v>12</v>
      </c>
      <c r="O109" s="192">
        <v>12</v>
      </c>
      <c r="P109" s="192">
        <v>12</v>
      </c>
      <c r="Q109" s="192">
        <v>12</v>
      </c>
      <c r="R109" s="192">
        <v>12</v>
      </c>
      <c r="S109" s="192">
        <v>12</v>
      </c>
      <c r="T109" s="192">
        <v>12</v>
      </c>
      <c r="U109" s="192">
        <f t="shared" si="33"/>
        <v>0</v>
      </c>
      <c r="V109" s="192">
        <v>12</v>
      </c>
      <c r="W109" s="192">
        <f t="shared" si="34"/>
        <v>0</v>
      </c>
      <c r="X109" s="194">
        <f t="shared" si="35"/>
        <v>0</v>
      </c>
      <c r="Y109" s="194">
        <f t="shared" si="36"/>
        <v>0</v>
      </c>
      <c r="Z109" s="194">
        <f t="shared" si="37"/>
        <v>0</v>
      </c>
      <c r="AA109" s="194">
        <f t="shared" si="38"/>
        <v>0</v>
      </c>
      <c r="AB109" s="194">
        <f t="shared" si="39"/>
        <v>0</v>
      </c>
      <c r="AC109" s="194">
        <f t="shared" si="40"/>
        <v>0</v>
      </c>
      <c r="AD109" s="194">
        <f t="shared" si="41"/>
        <v>0</v>
      </c>
      <c r="AE109" s="194">
        <f t="shared" si="42"/>
        <v>0</v>
      </c>
      <c r="AF109" s="194">
        <v>0</v>
      </c>
      <c r="AG109" s="194">
        <v>0</v>
      </c>
      <c r="AH109" s="194">
        <v>0</v>
      </c>
      <c r="AI109" s="194">
        <v>0</v>
      </c>
      <c r="AJ109" s="194">
        <v>0</v>
      </c>
      <c r="AK109" s="194">
        <f t="shared" si="43"/>
        <v>0</v>
      </c>
    </row>
    <row r="110" spans="1:37" ht="15" customHeight="1" x14ac:dyDescent="0.25">
      <c r="A110" s="192" t="s">
        <v>1216</v>
      </c>
      <c r="B110" s="192" t="s">
        <v>576</v>
      </c>
      <c r="C110" s="192" t="s">
        <v>1217</v>
      </c>
      <c r="D110" s="192" t="s">
        <v>997</v>
      </c>
      <c r="E110" s="192" t="s">
        <v>998</v>
      </c>
      <c r="F110" s="192" t="s">
        <v>1218</v>
      </c>
      <c r="G110" s="193">
        <v>46165</v>
      </c>
      <c r="H110" s="192" t="s">
        <v>1000</v>
      </c>
      <c r="I110" s="192" t="s">
        <v>1221</v>
      </c>
      <c r="J110" s="192" t="s">
        <v>1222</v>
      </c>
      <c r="K110" s="192" t="s">
        <v>13</v>
      </c>
      <c r="L110" s="192">
        <v>12</v>
      </c>
      <c r="M110" s="193">
        <v>46218</v>
      </c>
      <c r="N110" s="192">
        <v>12</v>
      </c>
      <c r="O110" s="192">
        <v>12</v>
      </c>
      <c r="P110" s="192">
        <v>12</v>
      </c>
      <c r="Q110" s="192">
        <v>12</v>
      </c>
      <c r="R110" s="192">
        <v>12</v>
      </c>
      <c r="S110" s="192">
        <v>12</v>
      </c>
      <c r="T110" s="192">
        <v>12</v>
      </c>
      <c r="U110" s="192">
        <f t="shared" si="33"/>
        <v>0</v>
      </c>
      <c r="V110" s="192">
        <v>12</v>
      </c>
      <c r="W110" s="192">
        <f t="shared" si="34"/>
        <v>0</v>
      </c>
      <c r="X110" s="194">
        <f t="shared" si="35"/>
        <v>0</v>
      </c>
      <c r="Y110" s="194">
        <f t="shared" si="36"/>
        <v>0</v>
      </c>
      <c r="Z110" s="194">
        <f t="shared" si="37"/>
        <v>0</v>
      </c>
      <c r="AA110" s="194">
        <f t="shared" si="38"/>
        <v>0</v>
      </c>
      <c r="AB110" s="194">
        <f t="shared" si="39"/>
        <v>0</v>
      </c>
      <c r="AC110" s="194">
        <f t="shared" si="40"/>
        <v>0</v>
      </c>
      <c r="AD110" s="194">
        <f t="shared" si="41"/>
        <v>0</v>
      </c>
      <c r="AE110" s="194">
        <f t="shared" si="42"/>
        <v>0</v>
      </c>
      <c r="AF110" s="194">
        <v>0</v>
      </c>
      <c r="AG110" s="194">
        <v>0</v>
      </c>
      <c r="AH110" s="194">
        <v>0</v>
      </c>
      <c r="AI110" s="194">
        <v>0</v>
      </c>
      <c r="AJ110" s="194">
        <v>0</v>
      </c>
      <c r="AK110" s="194">
        <f t="shared" si="43"/>
        <v>0</v>
      </c>
    </row>
    <row r="111" spans="1:37" ht="15" customHeight="1" x14ac:dyDescent="0.25">
      <c r="A111" s="192" t="s">
        <v>1216</v>
      </c>
      <c r="B111" s="192" t="s">
        <v>576</v>
      </c>
      <c r="C111" s="192" t="s">
        <v>1217</v>
      </c>
      <c r="D111" s="192" t="s">
        <v>997</v>
      </c>
      <c r="E111" s="192" t="s">
        <v>998</v>
      </c>
      <c r="F111" s="192" t="s">
        <v>1218</v>
      </c>
      <c r="G111" s="193">
        <v>46165</v>
      </c>
      <c r="H111" s="192" t="s">
        <v>1000</v>
      </c>
      <c r="I111" s="192" t="s">
        <v>1223</v>
      </c>
      <c r="J111" s="192" t="s">
        <v>1224</v>
      </c>
      <c r="K111" s="192" t="s">
        <v>13</v>
      </c>
      <c r="L111" s="192">
        <v>6</v>
      </c>
      <c r="M111" s="193">
        <v>46218</v>
      </c>
      <c r="N111" s="192">
        <v>6</v>
      </c>
      <c r="O111" s="192">
        <v>6</v>
      </c>
      <c r="P111" s="192">
        <v>6</v>
      </c>
      <c r="Q111" s="192">
        <v>6</v>
      </c>
      <c r="R111" s="192">
        <v>6</v>
      </c>
      <c r="S111" s="192">
        <v>6</v>
      </c>
      <c r="T111" s="192">
        <v>6</v>
      </c>
      <c r="U111" s="192">
        <f t="shared" si="33"/>
        <v>0</v>
      </c>
      <c r="V111" s="192">
        <v>6</v>
      </c>
      <c r="W111" s="192">
        <f t="shared" si="34"/>
        <v>0</v>
      </c>
      <c r="X111" s="194">
        <f t="shared" si="35"/>
        <v>0</v>
      </c>
      <c r="Y111" s="194">
        <f t="shared" si="36"/>
        <v>0</v>
      </c>
      <c r="Z111" s="194">
        <f t="shared" si="37"/>
        <v>0</v>
      </c>
      <c r="AA111" s="194">
        <f t="shared" si="38"/>
        <v>0</v>
      </c>
      <c r="AB111" s="194">
        <f t="shared" si="39"/>
        <v>0</v>
      </c>
      <c r="AC111" s="194">
        <f t="shared" si="40"/>
        <v>0</v>
      </c>
      <c r="AD111" s="194">
        <f t="shared" si="41"/>
        <v>0</v>
      </c>
      <c r="AE111" s="194">
        <f t="shared" si="42"/>
        <v>0</v>
      </c>
      <c r="AF111" s="194">
        <v>0</v>
      </c>
      <c r="AG111" s="194">
        <v>0</v>
      </c>
      <c r="AH111" s="194">
        <v>0</v>
      </c>
      <c r="AI111" s="194">
        <v>0</v>
      </c>
      <c r="AJ111" s="194">
        <v>0</v>
      </c>
      <c r="AK111" s="194">
        <f t="shared" si="43"/>
        <v>0</v>
      </c>
    </row>
    <row r="112" spans="1:37" ht="15" customHeight="1" x14ac:dyDescent="0.25">
      <c r="A112" s="192" t="s">
        <v>1216</v>
      </c>
      <c r="B112" s="192" t="s">
        <v>576</v>
      </c>
      <c r="C112" s="192" t="s">
        <v>1217</v>
      </c>
      <c r="D112" s="192" t="s">
        <v>997</v>
      </c>
      <c r="E112" s="192" t="s">
        <v>998</v>
      </c>
      <c r="F112" s="192" t="s">
        <v>1218</v>
      </c>
      <c r="G112" s="193">
        <v>46165</v>
      </c>
      <c r="H112" s="192" t="s">
        <v>1000</v>
      </c>
      <c r="I112" s="192" t="s">
        <v>1225</v>
      </c>
      <c r="J112" s="192" t="s">
        <v>1226</v>
      </c>
      <c r="K112" s="192" t="s">
        <v>13</v>
      </c>
      <c r="L112" s="192">
        <v>4</v>
      </c>
      <c r="M112" s="193">
        <v>46218</v>
      </c>
      <c r="N112" s="192">
        <v>4</v>
      </c>
      <c r="O112" s="192">
        <v>4</v>
      </c>
      <c r="P112" s="192">
        <v>4</v>
      </c>
      <c r="Q112" s="192">
        <v>4</v>
      </c>
      <c r="R112" s="192">
        <v>4</v>
      </c>
      <c r="S112" s="192">
        <v>4</v>
      </c>
      <c r="T112" s="192">
        <v>4</v>
      </c>
      <c r="U112" s="192">
        <f t="shared" si="33"/>
        <v>0</v>
      </c>
      <c r="V112" s="192">
        <v>4</v>
      </c>
      <c r="W112" s="192">
        <f t="shared" si="34"/>
        <v>0</v>
      </c>
      <c r="X112" s="194">
        <f t="shared" si="35"/>
        <v>0</v>
      </c>
      <c r="Y112" s="194">
        <f t="shared" si="36"/>
        <v>0</v>
      </c>
      <c r="Z112" s="194">
        <f t="shared" si="37"/>
        <v>0</v>
      </c>
      <c r="AA112" s="194">
        <f t="shared" si="38"/>
        <v>0</v>
      </c>
      <c r="AB112" s="194">
        <f t="shared" si="39"/>
        <v>0</v>
      </c>
      <c r="AC112" s="194">
        <f t="shared" si="40"/>
        <v>0</v>
      </c>
      <c r="AD112" s="194">
        <f t="shared" si="41"/>
        <v>0</v>
      </c>
      <c r="AE112" s="194">
        <f t="shared" si="42"/>
        <v>0</v>
      </c>
      <c r="AF112" s="194">
        <v>0</v>
      </c>
      <c r="AG112" s="194">
        <v>0</v>
      </c>
      <c r="AH112" s="194">
        <v>0</v>
      </c>
      <c r="AI112" s="194">
        <v>0</v>
      </c>
      <c r="AJ112" s="194">
        <v>0</v>
      </c>
      <c r="AK112" s="194">
        <f t="shared" si="43"/>
        <v>0</v>
      </c>
    </row>
    <row r="113" spans="1:37" ht="15" customHeight="1" x14ac:dyDescent="0.25">
      <c r="A113" s="192" t="s">
        <v>1227</v>
      </c>
      <c r="B113" s="192" t="s">
        <v>623</v>
      </c>
      <c r="C113" s="192" t="s">
        <v>776</v>
      </c>
      <c r="D113" s="192" t="s">
        <v>997</v>
      </c>
      <c r="E113" s="192" t="s">
        <v>998</v>
      </c>
      <c r="F113" s="192" t="s">
        <v>1228</v>
      </c>
      <c r="G113" s="193">
        <v>46165</v>
      </c>
      <c r="H113" s="192" t="s">
        <v>1000</v>
      </c>
      <c r="I113" s="192" t="s">
        <v>1120</v>
      </c>
      <c r="J113" s="192" t="s">
        <v>1121</v>
      </c>
      <c r="K113" s="192" t="s">
        <v>15</v>
      </c>
      <c r="L113" s="192">
        <v>20</v>
      </c>
      <c r="M113" s="193">
        <v>46218</v>
      </c>
      <c r="N113" s="192">
        <v>20</v>
      </c>
      <c r="O113" s="192">
        <v>20</v>
      </c>
      <c r="P113" s="192">
        <v>20</v>
      </c>
      <c r="Q113" s="192">
        <v>20</v>
      </c>
      <c r="R113" s="192">
        <v>20</v>
      </c>
      <c r="S113" s="192">
        <v>20</v>
      </c>
      <c r="T113" s="192">
        <v>20</v>
      </c>
      <c r="U113" s="192">
        <f t="shared" si="33"/>
        <v>0</v>
      </c>
      <c r="V113" s="192">
        <v>20</v>
      </c>
      <c r="W113" s="192">
        <f t="shared" si="34"/>
        <v>0</v>
      </c>
      <c r="X113" s="194">
        <f t="shared" si="35"/>
        <v>0</v>
      </c>
      <c r="Y113" s="194">
        <f t="shared" si="36"/>
        <v>0</v>
      </c>
      <c r="Z113" s="194">
        <f t="shared" si="37"/>
        <v>0</v>
      </c>
      <c r="AA113" s="194">
        <f t="shared" si="38"/>
        <v>0</v>
      </c>
      <c r="AB113" s="194">
        <f t="shared" si="39"/>
        <v>0</v>
      </c>
      <c r="AC113" s="194">
        <f t="shared" si="40"/>
        <v>0</v>
      </c>
      <c r="AD113" s="194">
        <f t="shared" si="41"/>
        <v>0</v>
      </c>
      <c r="AE113" s="194">
        <f t="shared" si="42"/>
        <v>0</v>
      </c>
      <c r="AF113" s="194">
        <v>0</v>
      </c>
      <c r="AG113" s="194">
        <v>0</v>
      </c>
      <c r="AH113" s="194">
        <v>0</v>
      </c>
      <c r="AI113" s="194">
        <v>0</v>
      </c>
      <c r="AJ113" s="194">
        <v>0</v>
      </c>
      <c r="AK113" s="194">
        <f t="shared" si="43"/>
        <v>0</v>
      </c>
    </row>
    <row r="114" spans="1:37" ht="15" customHeight="1" x14ac:dyDescent="0.25">
      <c r="A114" s="192" t="s">
        <v>1227</v>
      </c>
      <c r="B114" s="192" t="s">
        <v>623</v>
      </c>
      <c r="C114" s="192" t="s">
        <v>776</v>
      </c>
      <c r="D114" s="192" t="s">
        <v>997</v>
      </c>
      <c r="E114" s="192" t="s">
        <v>998</v>
      </c>
      <c r="F114" s="192" t="s">
        <v>1228</v>
      </c>
      <c r="G114" s="193">
        <v>46165</v>
      </c>
      <c r="H114" s="192" t="s">
        <v>1000</v>
      </c>
      <c r="I114" s="192" t="s">
        <v>1123</v>
      </c>
      <c r="J114" s="192" t="s">
        <v>1124</v>
      </c>
      <c r="K114" s="192" t="s">
        <v>13</v>
      </c>
      <c r="L114" s="192">
        <v>10</v>
      </c>
      <c r="M114" s="193">
        <v>46218</v>
      </c>
      <c r="N114" s="192">
        <v>10</v>
      </c>
      <c r="O114" s="192">
        <v>10</v>
      </c>
      <c r="P114" s="192">
        <v>10</v>
      </c>
      <c r="Q114" s="192">
        <v>10</v>
      </c>
      <c r="R114" s="192">
        <v>10</v>
      </c>
      <c r="S114" s="192">
        <v>10</v>
      </c>
      <c r="T114" s="192">
        <v>10</v>
      </c>
      <c r="U114" s="192">
        <f t="shared" si="33"/>
        <v>0</v>
      </c>
      <c r="V114" s="192">
        <v>10</v>
      </c>
      <c r="W114" s="192">
        <f t="shared" si="34"/>
        <v>0</v>
      </c>
      <c r="X114" s="194">
        <f t="shared" si="35"/>
        <v>0</v>
      </c>
      <c r="Y114" s="194">
        <f t="shared" si="36"/>
        <v>0</v>
      </c>
      <c r="Z114" s="194">
        <f t="shared" si="37"/>
        <v>0</v>
      </c>
      <c r="AA114" s="194">
        <f t="shared" si="38"/>
        <v>0</v>
      </c>
      <c r="AB114" s="194">
        <f t="shared" si="39"/>
        <v>0</v>
      </c>
      <c r="AC114" s="194">
        <f t="shared" si="40"/>
        <v>0</v>
      </c>
      <c r="AD114" s="194">
        <f t="shared" si="41"/>
        <v>0</v>
      </c>
      <c r="AE114" s="194">
        <f t="shared" si="42"/>
        <v>0</v>
      </c>
      <c r="AF114" s="194">
        <v>0</v>
      </c>
      <c r="AG114" s="194">
        <v>0</v>
      </c>
      <c r="AH114" s="194">
        <v>0</v>
      </c>
      <c r="AI114" s="194">
        <v>0</v>
      </c>
      <c r="AJ114" s="194">
        <v>0</v>
      </c>
      <c r="AK114" s="194">
        <f t="shared" si="43"/>
        <v>0</v>
      </c>
    </row>
    <row r="115" spans="1:37" ht="15" customHeight="1" x14ac:dyDescent="0.25">
      <c r="A115" s="192" t="s">
        <v>1227</v>
      </c>
      <c r="B115" s="192" t="s">
        <v>623</v>
      </c>
      <c r="C115" s="192" t="s">
        <v>776</v>
      </c>
      <c r="D115" s="192" t="s">
        <v>997</v>
      </c>
      <c r="E115" s="192" t="s">
        <v>998</v>
      </c>
      <c r="F115" s="192" t="s">
        <v>1228</v>
      </c>
      <c r="G115" s="193">
        <v>46165</v>
      </c>
      <c r="H115" s="192" t="s">
        <v>1000</v>
      </c>
      <c r="I115" s="192" t="s">
        <v>1059</v>
      </c>
      <c r="J115" s="192" t="s">
        <v>1060</v>
      </c>
      <c r="K115" s="192" t="s">
        <v>13</v>
      </c>
      <c r="L115" s="192">
        <v>10</v>
      </c>
      <c r="M115" s="193">
        <v>46218</v>
      </c>
      <c r="N115" s="192">
        <v>10</v>
      </c>
      <c r="O115" s="192">
        <v>10</v>
      </c>
      <c r="P115" s="192">
        <v>10</v>
      </c>
      <c r="Q115" s="192">
        <v>10</v>
      </c>
      <c r="R115" s="192">
        <v>10</v>
      </c>
      <c r="S115" s="192">
        <v>10</v>
      </c>
      <c r="T115" s="192">
        <v>10</v>
      </c>
      <c r="U115" s="192">
        <f t="shared" si="33"/>
        <v>0</v>
      </c>
      <c r="V115" s="192">
        <v>10</v>
      </c>
      <c r="W115" s="192">
        <f t="shared" si="34"/>
        <v>0</v>
      </c>
      <c r="X115" s="194">
        <f t="shared" si="35"/>
        <v>0</v>
      </c>
      <c r="Y115" s="194">
        <f t="shared" si="36"/>
        <v>0</v>
      </c>
      <c r="Z115" s="194">
        <f t="shared" si="37"/>
        <v>0</v>
      </c>
      <c r="AA115" s="194">
        <f t="shared" si="38"/>
        <v>0</v>
      </c>
      <c r="AB115" s="194">
        <f t="shared" si="39"/>
        <v>0</v>
      </c>
      <c r="AC115" s="194">
        <f t="shared" si="40"/>
        <v>0</v>
      </c>
      <c r="AD115" s="194">
        <f t="shared" si="41"/>
        <v>0</v>
      </c>
      <c r="AE115" s="194">
        <f t="shared" si="42"/>
        <v>0</v>
      </c>
      <c r="AF115" s="194">
        <v>0</v>
      </c>
      <c r="AG115" s="194">
        <v>0</v>
      </c>
      <c r="AH115" s="194">
        <v>0</v>
      </c>
      <c r="AI115" s="194">
        <v>0</v>
      </c>
      <c r="AJ115" s="194">
        <v>0</v>
      </c>
      <c r="AK115" s="194">
        <f t="shared" si="43"/>
        <v>0</v>
      </c>
    </row>
    <row r="116" spans="1:37" ht="15" customHeight="1" x14ac:dyDescent="0.25">
      <c r="A116" s="192" t="s">
        <v>1229</v>
      </c>
      <c r="B116" s="192" t="s">
        <v>559</v>
      </c>
      <c r="C116" s="192" t="s">
        <v>1230</v>
      </c>
      <c r="D116" s="192" t="s">
        <v>997</v>
      </c>
      <c r="E116" s="192" t="s">
        <v>998</v>
      </c>
      <c r="F116" s="192" t="s">
        <v>1231</v>
      </c>
      <c r="G116" s="193">
        <v>46165</v>
      </c>
      <c r="H116" s="192" t="s">
        <v>1000</v>
      </c>
      <c r="I116" s="192" t="s">
        <v>1232</v>
      </c>
      <c r="J116" s="192" t="s">
        <v>1233</v>
      </c>
      <c r="K116" s="192" t="s">
        <v>13</v>
      </c>
      <c r="L116" s="192">
        <v>48</v>
      </c>
      <c r="M116" s="193">
        <v>46218</v>
      </c>
      <c r="N116" s="192">
        <v>48</v>
      </c>
      <c r="O116" s="192">
        <v>48</v>
      </c>
      <c r="P116" s="192">
        <v>48</v>
      </c>
      <c r="Q116" s="192">
        <v>48</v>
      </c>
      <c r="R116" s="192">
        <v>48</v>
      </c>
      <c r="S116" s="192">
        <v>48</v>
      </c>
      <c r="T116" s="192">
        <v>48</v>
      </c>
      <c r="U116" s="192">
        <f t="shared" si="33"/>
        <v>0</v>
      </c>
      <c r="V116" s="192">
        <v>48</v>
      </c>
      <c r="W116" s="192">
        <f t="shared" si="34"/>
        <v>0</v>
      </c>
      <c r="X116" s="194">
        <f t="shared" si="35"/>
        <v>0</v>
      </c>
      <c r="Y116" s="194">
        <f t="shared" si="36"/>
        <v>0</v>
      </c>
      <c r="Z116" s="194">
        <f t="shared" si="37"/>
        <v>0</v>
      </c>
      <c r="AA116" s="194">
        <f t="shared" si="38"/>
        <v>0</v>
      </c>
      <c r="AB116" s="194">
        <f t="shared" si="39"/>
        <v>0</v>
      </c>
      <c r="AC116" s="194">
        <f t="shared" si="40"/>
        <v>0</v>
      </c>
      <c r="AD116" s="194">
        <f t="shared" si="41"/>
        <v>0</v>
      </c>
      <c r="AE116" s="194">
        <f t="shared" si="42"/>
        <v>0</v>
      </c>
      <c r="AF116" s="194">
        <v>0</v>
      </c>
      <c r="AG116" s="194">
        <v>0</v>
      </c>
      <c r="AH116" s="194">
        <v>0</v>
      </c>
      <c r="AI116" s="194">
        <v>0</v>
      </c>
      <c r="AJ116" s="194">
        <v>0</v>
      </c>
      <c r="AK116" s="194">
        <f t="shared" si="43"/>
        <v>0</v>
      </c>
    </row>
    <row r="117" spans="1:37" ht="15" customHeight="1" x14ac:dyDescent="0.25">
      <c r="A117" s="192" t="s">
        <v>1229</v>
      </c>
      <c r="B117" s="192" t="s">
        <v>559</v>
      </c>
      <c r="C117" s="192" t="s">
        <v>1230</v>
      </c>
      <c r="D117" s="192" t="s">
        <v>997</v>
      </c>
      <c r="E117" s="192" t="s">
        <v>998</v>
      </c>
      <c r="F117" s="192" t="s">
        <v>1231</v>
      </c>
      <c r="G117" s="193">
        <v>46165</v>
      </c>
      <c r="H117" s="192" t="s">
        <v>1000</v>
      </c>
      <c r="I117" s="192" t="s">
        <v>1009</v>
      </c>
      <c r="J117" s="192" t="s">
        <v>1010</v>
      </c>
      <c r="K117" s="192" t="s">
        <v>13</v>
      </c>
      <c r="L117" s="192">
        <v>48</v>
      </c>
      <c r="M117" s="193">
        <v>46218</v>
      </c>
      <c r="N117" s="192">
        <v>48</v>
      </c>
      <c r="O117" s="192">
        <v>48</v>
      </c>
      <c r="P117" s="192">
        <v>48</v>
      </c>
      <c r="Q117" s="192">
        <v>48</v>
      </c>
      <c r="R117" s="192">
        <v>48</v>
      </c>
      <c r="S117" s="192">
        <v>48</v>
      </c>
      <c r="T117" s="192">
        <v>48</v>
      </c>
      <c r="U117" s="192">
        <f t="shared" si="33"/>
        <v>0</v>
      </c>
      <c r="V117" s="192">
        <v>48</v>
      </c>
      <c r="W117" s="192">
        <f t="shared" si="34"/>
        <v>0</v>
      </c>
      <c r="X117" s="194">
        <f t="shared" si="35"/>
        <v>0</v>
      </c>
      <c r="Y117" s="194">
        <f t="shared" si="36"/>
        <v>0</v>
      </c>
      <c r="Z117" s="194">
        <f t="shared" si="37"/>
        <v>0</v>
      </c>
      <c r="AA117" s="194">
        <f t="shared" si="38"/>
        <v>0</v>
      </c>
      <c r="AB117" s="194">
        <f t="shared" si="39"/>
        <v>0</v>
      </c>
      <c r="AC117" s="194">
        <f t="shared" si="40"/>
        <v>0</v>
      </c>
      <c r="AD117" s="194">
        <f t="shared" si="41"/>
        <v>0</v>
      </c>
      <c r="AE117" s="194">
        <f t="shared" si="42"/>
        <v>0</v>
      </c>
      <c r="AF117" s="194">
        <v>0</v>
      </c>
      <c r="AG117" s="194">
        <v>0</v>
      </c>
      <c r="AH117" s="194">
        <v>0</v>
      </c>
      <c r="AI117" s="194">
        <v>0</v>
      </c>
      <c r="AJ117" s="194">
        <v>0</v>
      </c>
      <c r="AK117" s="194">
        <f t="shared" si="43"/>
        <v>0</v>
      </c>
    </row>
    <row r="118" spans="1:37" ht="15" customHeight="1" x14ac:dyDescent="0.25">
      <c r="A118" s="192" t="s">
        <v>1229</v>
      </c>
      <c r="B118" s="192" t="s">
        <v>559</v>
      </c>
      <c r="C118" s="192" t="s">
        <v>1230</v>
      </c>
      <c r="D118" s="192" t="s">
        <v>997</v>
      </c>
      <c r="E118" s="192" t="s">
        <v>998</v>
      </c>
      <c r="F118" s="192" t="s">
        <v>1231</v>
      </c>
      <c r="G118" s="193">
        <v>46165</v>
      </c>
      <c r="H118" s="192" t="s">
        <v>1000</v>
      </c>
      <c r="I118" s="192" t="s">
        <v>1148</v>
      </c>
      <c r="J118" s="192" t="s">
        <v>1149</v>
      </c>
      <c r="K118" s="192" t="s">
        <v>13</v>
      </c>
      <c r="L118" s="192">
        <v>48</v>
      </c>
      <c r="M118" s="193">
        <v>46218</v>
      </c>
      <c r="N118" s="192">
        <v>48</v>
      </c>
      <c r="O118" s="192">
        <v>48</v>
      </c>
      <c r="P118" s="192">
        <v>48</v>
      </c>
      <c r="Q118" s="192">
        <v>48</v>
      </c>
      <c r="R118" s="192">
        <v>48</v>
      </c>
      <c r="S118" s="192">
        <v>48</v>
      </c>
      <c r="T118" s="192">
        <v>48</v>
      </c>
      <c r="U118" s="192">
        <f t="shared" si="33"/>
        <v>0</v>
      </c>
      <c r="V118" s="192">
        <v>48</v>
      </c>
      <c r="W118" s="192">
        <f t="shared" si="34"/>
        <v>0</v>
      </c>
      <c r="X118" s="194">
        <f t="shared" si="35"/>
        <v>0</v>
      </c>
      <c r="Y118" s="194">
        <f t="shared" si="36"/>
        <v>0</v>
      </c>
      <c r="Z118" s="194">
        <f t="shared" si="37"/>
        <v>0</v>
      </c>
      <c r="AA118" s="194">
        <f t="shared" si="38"/>
        <v>0</v>
      </c>
      <c r="AB118" s="194">
        <f t="shared" si="39"/>
        <v>0</v>
      </c>
      <c r="AC118" s="194">
        <f t="shared" si="40"/>
        <v>0</v>
      </c>
      <c r="AD118" s="194">
        <f t="shared" si="41"/>
        <v>0</v>
      </c>
      <c r="AE118" s="194">
        <f t="shared" si="42"/>
        <v>0</v>
      </c>
      <c r="AF118" s="194">
        <v>0</v>
      </c>
      <c r="AG118" s="194">
        <v>0</v>
      </c>
      <c r="AH118" s="194">
        <v>0</v>
      </c>
      <c r="AI118" s="194">
        <v>0</v>
      </c>
      <c r="AJ118" s="194">
        <v>0</v>
      </c>
      <c r="AK118" s="194">
        <f t="shared" si="43"/>
        <v>0</v>
      </c>
    </row>
    <row r="119" spans="1:37" ht="15" customHeight="1" x14ac:dyDescent="0.25">
      <c r="A119" s="192" t="s">
        <v>1229</v>
      </c>
      <c r="B119" s="192" t="s">
        <v>559</v>
      </c>
      <c r="C119" s="192" t="s">
        <v>1230</v>
      </c>
      <c r="D119" s="192" t="s">
        <v>997</v>
      </c>
      <c r="E119" s="192" t="s">
        <v>998</v>
      </c>
      <c r="F119" s="192" t="s">
        <v>1231</v>
      </c>
      <c r="G119" s="193">
        <v>46165</v>
      </c>
      <c r="H119" s="192" t="s">
        <v>1000</v>
      </c>
      <c r="I119" s="192" t="s">
        <v>1028</v>
      </c>
      <c r="J119" s="192" t="s">
        <v>1029</v>
      </c>
      <c r="K119" s="192" t="s">
        <v>15</v>
      </c>
      <c r="L119" s="192">
        <v>48</v>
      </c>
      <c r="M119" s="193">
        <v>46218</v>
      </c>
      <c r="N119" s="192">
        <v>48</v>
      </c>
      <c r="O119" s="192">
        <v>48</v>
      </c>
      <c r="P119" s="192">
        <v>48</v>
      </c>
      <c r="Q119" s="192">
        <v>48</v>
      </c>
      <c r="R119" s="192">
        <v>48</v>
      </c>
      <c r="S119" s="192">
        <v>48</v>
      </c>
      <c r="T119" s="192">
        <v>48</v>
      </c>
      <c r="U119" s="192">
        <f t="shared" si="33"/>
        <v>0</v>
      </c>
      <c r="V119" s="192">
        <v>48</v>
      </c>
      <c r="W119" s="192">
        <f t="shared" si="34"/>
        <v>0</v>
      </c>
      <c r="X119" s="194">
        <f t="shared" si="35"/>
        <v>0</v>
      </c>
      <c r="Y119" s="194">
        <f t="shared" si="36"/>
        <v>0</v>
      </c>
      <c r="Z119" s="194">
        <f t="shared" si="37"/>
        <v>0</v>
      </c>
      <c r="AA119" s="194">
        <f t="shared" si="38"/>
        <v>0</v>
      </c>
      <c r="AB119" s="194">
        <f t="shared" si="39"/>
        <v>0</v>
      </c>
      <c r="AC119" s="194">
        <f t="shared" si="40"/>
        <v>0</v>
      </c>
      <c r="AD119" s="194">
        <f t="shared" si="41"/>
        <v>0</v>
      </c>
      <c r="AE119" s="194">
        <f t="shared" si="42"/>
        <v>0</v>
      </c>
      <c r="AF119" s="194">
        <v>0</v>
      </c>
      <c r="AG119" s="194">
        <v>0</v>
      </c>
      <c r="AH119" s="194">
        <v>0</v>
      </c>
      <c r="AI119" s="194">
        <v>0</v>
      </c>
      <c r="AJ119" s="194">
        <v>0</v>
      </c>
      <c r="AK119" s="194">
        <f t="shared" si="43"/>
        <v>0</v>
      </c>
    </row>
    <row r="120" spans="1:37" ht="15" customHeight="1" x14ac:dyDescent="0.25">
      <c r="A120" s="192" t="s">
        <v>1229</v>
      </c>
      <c r="B120" s="192" t="s">
        <v>559</v>
      </c>
      <c r="C120" s="192" t="s">
        <v>1230</v>
      </c>
      <c r="D120" s="192" t="s">
        <v>997</v>
      </c>
      <c r="E120" s="192" t="s">
        <v>998</v>
      </c>
      <c r="F120" s="192" t="s">
        <v>1231</v>
      </c>
      <c r="G120" s="193">
        <v>46165</v>
      </c>
      <c r="H120" s="192" t="s">
        <v>1000</v>
      </c>
      <c r="I120" s="192" t="s">
        <v>1234</v>
      </c>
      <c r="J120" s="192" t="s">
        <v>1235</v>
      </c>
      <c r="K120" s="192" t="s">
        <v>13</v>
      </c>
      <c r="L120" s="192">
        <v>48</v>
      </c>
      <c r="M120" s="193">
        <v>46218</v>
      </c>
      <c r="N120" s="192">
        <v>48</v>
      </c>
      <c r="O120" s="192">
        <v>48</v>
      </c>
      <c r="P120" s="192">
        <v>48</v>
      </c>
      <c r="Q120" s="192">
        <v>48</v>
      </c>
      <c r="R120" s="192">
        <v>48</v>
      </c>
      <c r="S120" s="192">
        <v>48</v>
      </c>
      <c r="T120" s="192">
        <v>48</v>
      </c>
      <c r="U120" s="192">
        <f t="shared" si="33"/>
        <v>0</v>
      </c>
      <c r="V120" s="192">
        <v>48</v>
      </c>
      <c r="W120" s="192">
        <f t="shared" si="34"/>
        <v>0</v>
      </c>
      <c r="X120" s="194">
        <f t="shared" si="35"/>
        <v>0</v>
      </c>
      <c r="Y120" s="194">
        <f t="shared" si="36"/>
        <v>0</v>
      </c>
      <c r="Z120" s="194">
        <f t="shared" si="37"/>
        <v>0</v>
      </c>
      <c r="AA120" s="194">
        <f t="shared" si="38"/>
        <v>0</v>
      </c>
      <c r="AB120" s="194">
        <f t="shared" si="39"/>
        <v>0</v>
      </c>
      <c r="AC120" s="194">
        <f t="shared" si="40"/>
        <v>0</v>
      </c>
      <c r="AD120" s="194">
        <f t="shared" si="41"/>
        <v>0</v>
      </c>
      <c r="AE120" s="194">
        <f t="shared" si="42"/>
        <v>0</v>
      </c>
      <c r="AF120" s="194">
        <v>0</v>
      </c>
      <c r="AG120" s="194">
        <v>0</v>
      </c>
      <c r="AH120" s="194">
        <v>0</v>
      </c>
      <c r="AI120" s="194">
        <v>0</v>
      </c>
      <c r="AJ120" s="194">
        <v>0</v>
      </c>
      <c r="AK120" s="194">
        <f t="shared" si="43"/>
        <v>0</v>
      </c>
    </row>
    <row r="121" spans="1:37" ht="15" customHeight="1" x14ac:dyDescent="0.25">
      <c r="A121" s="192" t="s">
        <v>1229</v>
      </c>
      <c r="B121" s="192" t="s">
        <v>559</v>
      </c>
      <c r="C121" s="192" t="s">
        <v>1230</v>
      </c>
      <c r="D121" s="192" t="s">
        <v>997</v>
      </c>
      <c r="E121" s="192" t="s">
        <v>998</v>
      </c>
      <c r="F121" s="192" t="s">
        <v>1231</v>
      </c>
      <c r="G121" s="193">
        <v>46165</v>
      </c>
      <c r="H121" s="192" t="s">
        <v>1000</v>
      </c>
      <c r="I121" s="192" t="s">
        <v>1236</v>
      </c>
      <c r="J121" s="192" t="s">
        <v>1237</v>
      </c>
      <c r="K121" s="192" t="s">
        <v>13</v>
      </c>
      <c r="L121" s="192">
        <v>48</v>
      </c>
      <c r="M121" s="193">
        <v>46218</v>
      </c>
      <c r="N121" s="192">
        <v>48</v>
      </c>
      <c r="O121" s="192">
        <v>48</v>
      </c>
      <c r="P121" s="192">
        <v>48</v>
      </c>
      <c r="Q121" s="192">
        <v>48</v>
      </c>
      <c r="R121" s="192">
        <v>48</v>
      </c>
      <c r="S121" s="192">
        <v>48</v>
      </c>
      <c r="T121" s="192">
        <v>48</v>
      </c>
      <c r="U121" s="192">
        <f t="shared" si="33"/>
        <v>0</v>
      </c>
      <c r="V121" s="192">
        <v>48</v>
      </c>
      <c r="W121" s="192">
        <f t="shared" si="34"/>
        <v>0</v>
      </c>
      <c r="X121" s="194">
        <f t="shared" si="35"/>
        <v>0</v>
      </c>
      <c r="Y121" s="194">
        <f t="shared" si="36"/>
        <v>0</v>
      </c>
      <c r="Z121" s="194">
        <f t="shared" si="37"/>
        <v>0</v>
      </c>
      <c r="AA121" s="194">
        <f t="shared" si="38"/>
        <v>0</v>
      </c>
      <c r="AB121" s="194">
        <f t="shared" si="39"/>
        <v>0</v>
      </c>
      <c r="AC121" s="194">
        <f t="shared" si="40"/>
        <v>0</v>
      </c>
      <c r="AD121" s="194">
        <f t="shared" si="41"/>
        <v>0</v>
      </c>
      <c r="AE121" s="194">
        <f t="shared" si="42"/>
        <v>0</v>
      </c>
      <c r="AF121" s="194">
        <v>0</v>
      </c>
      <c r="AG121" s="194">
        <v>0</v>
      </c>
      <c r="AH121" s="194">
        <v>0</v>
      </c>
      <c r="AI121" s="194">
        <v>0</v>
      </c>
      <c r="AJ121" s="194">
        <v>0</v>
      </c>
      <c r="AK121" s="194">
        <f t="shared" si="43"/>
        <v>0</v>
      </c>
    </row>
    <row r="122" spans="1:37" ht="15" customHeight="1" x14ac:dyDescent="0.25">
      <c r="A122" s="192" t="s">
        <v>1238</v>
      </c>
      <c r="B122" s="192" t="s">
        <v>648</v>
      </c>
      <c r="C122" s="192" t="s">
        <v>1239</v>
      </c>
      <c r="D122" s="192" t="s">
        <v>997</v>
      </c>
      <c r="E122" s="192" t="s">
        <v>998</v>
      </c>
      <c r="F122" s="192" t="s">
        <v>1240</v>
      </c>
      <c r="G122" s="193">
        <v>46165</v>
      </c>
      <c r="H122" s="192" t="s">
        <v>1000</v>
      </c>
      <c r="I122" s="192" t="s">
        <v>1150</v>
      </c>
      <c r="J122" s="192" t="s">
        <v>1151</v>
      </c>
      <c r="K122" s="192" t="s">
        <v>13</v>
      </c>
      <c r="L122" s="192">
        <v>8</v>
      </c>
      <c r="M122" s="193">
        <v>46225</v>
      </c>
      <c r="N122" s="192">
        <v>8</v>
      </c>
      <c r="O122" s="192">
        <v>8</v>
      </c>
      <c r="P122" s="192">
        <v>8</v>
      </c>
      <c r="Q122" s="192">
        <v>8</v>
      </c>
      <c r="R122" s="192">
        <v>8</v>
      </c>
      <c r="S122" s="192">
        <v>8</v>
      </c>
      <c r="T122" s="192">
        <v>8</v>
      </c>
      <c r="U122" s="192">
        <f t="shared" si="33"/>
        <v>0</v>
      </c>
      <c r="V122" s="192">
        <v>8</v>
      </c>
      <c r="W122" s="192">
        <f t="shared" si="34"/>
        <v>0</v>
      </c>
      <c r="X122" s="194">
        <f t="shared" si="35"/>
        <v>0</v>
      </c>
      <c r="Y122" s="194">
        <f t="shared" si="36"/>
        <v>0</v>
      </c>
      <c r="Z122" s="194">
        <f t="shared" si="37"/>
        <v>0</v>
      </c>
      <c r="AA122" s="194">
        <f t="shared" si="38"/>
        <v>0</v>
      </c>
      <c r="AB122" s="194">
        <f t="shared" si="39"/>
        <v>0</v>
      </c>
      <c r="AC122" s="194">
        <f t="shared" si="40"/>
        <v>0</v>
      </c>
      <c r="AD122" s="194">
        <f t="shared" si="41"/>
        <v>0</v>
      </c>
      <c r="AE122" s="194">
        <f t="shared" si="42"/>
        <v>0</v>
      </c>
      <c r="AF122" s="194">
        <v>0</v>
      </c>
      <c r="AG122" s="194">
        <v>0</v>
      </c>
      <c r="AH122" s="194">
        <v>0</v>
      </c>
      <c r="AI122" s="194">
        <v>0</v>
      </c>
      <c r="AJ122" s="194">
        <v>0</v>
      </c>
      <c r="AK122" s="194">
        <f t="shared" si="43"/>
        <v>0</v>
      </c>
    </row>
    <row r="123" spans="1:37" ht="15" customHeight="1" x14ac:dyDescent="0.25">
      <c r="A123" s="192" t="s">
        <v>1238</v>
      </c>
      <c r="B123" s="192" t="s">
        <v>648</v>
      </c>
      <c r="C123" s="192" t="s">
        <v>1239</v>
      </c>
      <c r="D123" s="192" t="s">
        <v>997</v>
      </c>
      <c r="E123" s="192" t="s">
        <v>998</v>
      </c>
      <c r="F123" s="192" t="s">
        <v>1240</v>
      </c>
      <c r="G123" s="193">
        <v>46165</v>
      </c>
      <c r="H123" s="192" t="s">
        <v>1000</v>
      </c>
      <c r="I123" s="192" t="s">
        <v>1140</v>
      </c>
      <c r="J123" s="192" t="s">
        <v>1141</v>
      </c>
      <c r="K123" s="192" t="s">
        <v>13</v>
      </c>
      <c r="L123" s="192">
        <v>6</v>
      </c>
      <c r="M123" s="193">
        <v>46225</v>
      </c>
      <c r="N123" s="192">
        <v>6</v>
      </c>
      <c r="O123" s="192">
        <v>6</v>
      </c>
      <c r="P123" s="192">
        <v>6</v>
      </c>
      <c r="Q123" s="192">
        <v>6</v>
      </c>
      <c r="R123" s="192">
        <v>6</v>
      </c>
      <c r="S123" s="192">
        <v>6</v>
      </c>
      <c r="T123" s="192">
        <v>6</v>
      </c>
      <c r="U123" s="192">
        <f t="shared" si="33"/>
        <v>0</v>
      </c>
      <c r="V123" s="192">
        <v>6</v>
      </c>
      <c r="W123" s="192">
        <f t="shared" si="34"/>
        <v>0</v>
      </c>
      <c r="X123" s="194">
        <f t="shared" si="35"/>
        <v>0</v>
      </c>
      <c r="Y123" s="194">
        <f t="shared" si="36"/>
        <v>0</v>
      </c>
      <c r="Z123" s="194">
        <f t="shared" si="37"/>
        <v>0</v>
      </c>
      <c r="AA123" s="194">
        <f t="shared" si="38"/>
        <v>0</v>
      </c>
      <c r="AB123" s="194">
        <f t="shared" si="39"/>
        <v>0</v>
      </c>
      <c r="AC123" s="194">
        <f t="shared" si="40"/>
        <v>0</v>
      </c>
      <c r="AD123" s="194">
        <f t="shared" si="41"/>
        <v>0</v>
      </c>
      <c r="AE123" s="194">
        <f t="shared" si="42"/>
        <v>0</v>
      </c>
      <c r="AF123" s="194">
        <v>0</v>
      </c>
      <c r="AG123" s="194">
        <v>0</v>
      </c>
      <c r="AH123" s="194">
        <v>0</v>
      </c>
      <c r="AI123" s="194">
        <v>0</v>
      </c>
      <c r="AJ123" s="194">
        <v>0</v>
      </c>
      <c r="AK123" s="194">
        <f t="shared" si="43"/>
        <v>0</v>
      </c>
    </row>
    <row r="124" spans="1:37" ht="15" customHeight="1" x14ac:dyDescent="0.25">
      <c r="A124" s="192" t="s">
        <v>1241</v>
      </c>
      <c r="B124" s="192" t="s">
        <v>600</v>
      </c>
      <c r="C124" s="192" t="s">
        <v>1242</v>
      </c>
      <c r="D124" s="192" t="s">
        <v>997</v>
      </c>
      <c r="E124" s="192" t="s">
        <v>998</v>
      </c>
      <c r="F124" s="192" t="s">
        <v>1243</v>
      </c>
      <c r="G124" s="193">
        <v>46165</v>
      </c>
      <c r="H124" s="192" t="s">
        <v>1000</v>
      </c>
      <c r="I124" s="192" t="s">
        <v>1199</v>
      </c>
      <c r="J124" s="192" t="s">
        <v>1200</v>
      </c>
      <c r="K124" s="192" t="s">
        <v>13</v>
      </c>
      <c r="L124" s="192">
        <v>12</v>
      </c>
      <c r="M124" s="193">
        <v>46218</v>
      </c>
      <c r="N124" s="192">
        <v>12</v>
      </c>
      <c r="O124" s="192">
        <v>12</v>
      </c>
      <c r="P124" s="192">
        <v>12</v>
      </c>
      <c r="Q124" s="192">
        <v>12</v>
      </c>
      <c r="R124" s="192">
        <v>12</v>
      </c>
      <c r="S124" s="192">
        <v>12</v>
      </c>
      <c r="T124" s="192">
        <v>12</v>
      </c>
      <c r="U124" s="192">
        <f t="shared" si="33"/>
        <v>0</v>
      </c>
      <c r="V124" s="192">
        <v>12</v>
      </c>
      <c r="W124" s="192">
        <f t="shared" si="34"/>
        <v>0</v>
      </c>
      <c r="X124" s="194">
        <f t="shared" si="35"/>
        <v>0</v>
      </c>
      <c r="Y124" s="194">
        <f t="shared" si="36"/>
        <v>0</v>
      </c>
      <c r="Z124" s="194">
        <f t="shared" si="37"/>
        <v>0</v>
      </c>
      <c r="AA124" s="194">
        <f t="shared" si="38"/>
        <v>0</v>
      </c>
      <c r="AB124" s="194">
        <f t="shared" si="39"/>
        <v>0</v>
      </c>
      <c r="AC124" s="194">
        <f t="shared" si="40"/>
        <v>0</v>
      </c>
      <c r="AD124" s="194">
        <f t="shared" si="41"/>
        <v>0</v>
      </c>
      <c r="AE124" s="194">
        <f t="shared" si="42"/>
        <v>0</v>
      </c>
      <c r="AF124" s="194">
        <v>0</v>
      </c>
      <c r="AG124" s="194">
        <v>0</v>
      </c>
      <c r="AH124" s="194">
        <v>0</v>
      </c>
      <c r="AI124" s="194">
        <v>0</v>
      </c>
      <c r="AJ124" s="194">
        <v>0</v>
      </c>
      <c r="AK124" s="194">
        <f t="shared" si="43"/>
        <v>0</v>
      </c>
    </row>
    <row r="125" spans="1:37" ht="15" customHeight="1" x14ac:dyDescent="0.25">
      <c r="A125" s="192" t="s">
        <v>1241</v>
      </c>
      <c r="B125" s="192" t="s">
        <v>600</v>
      </c>
      <c r="C125" s="192" t="s">
        <v>1242</v>
      </c>
      <c r="D125" s="192" t="s">
        <v>997</v>
      </c>
      <c r="E125" s="192" t="s">
        <v>998</v>
      </c>
      <c r="F125" s="192" t="s">
        <v>1243</v>
      </c>
      <c r="G125" s="193">
        <v>46165</v>
      </c>
      <c r="H125" s="192" t="s">
        <v>1000</v>
      </c>
      <c r="I125" s="192" t="s">
        <v>1201</v>
      </c>
      <c r="J125" s="192" t="s">
        <v>1202</v>
      </c>
      <c r="K125" s="192" t="s">
        <v>13</v>
      </c>
      <c r="L125" s="192">
        <v>12</v>
      </c>
      <c r="M125" s="193">
        <v>46218</v>
      </c>
      <c r="N125" s="192">
        <v>12</v>
      </c>
      <c r="O125" s="192">
        <v>12</v>
      </c>
      <c r="P125" s="192">
        <v>12</v>
      </c>
      <c r="Q125" s="192">
        <v>12</v>
      </c>
      <c r="R125" s="192">
        <v>12</v>
      </c>
      <c r="S125" s="192">
        <v>12</v>
      </c>
      <c r="T125" s="192">
        <v>12</v>
      </c>
      <c r="U125" s="192">
        <f t="shared" si="33"/>
        <v>0</v>
      </c>
      <c r="V125" s="192">
        <v>12</v>
      </c>
      <c r="W125" s="192">
        <f t="shared" si="34"/>
        <v>0</v>
      </c>
      <c r="X125" s="194">
        <f t="shared" si="35"/>
        <v>0</v>
      </c>
      <c r="Y125" s="194">
        <f t="shared" si="36"/>
        <v>0</v>
      </c>
      <c r="Z125" s="194">
        <f t="shared" si="37"/>
        <v>0</v>
      </c>
      <c r="AA125" s="194">
        <f t="shared" si="38"/>
        <v>0</v>
      </c>
      <c r="AB125" s="194">
        <f t="shared" si="39"/>
        <v>0</v>
      </c>
      <c r="AC125" s="194">
        <f t="shared" si="40"/>
        <v>0</v>
      </c>
      <c r="AD125" s="194">
        <f t="shared" si="41"/>
        <v>0</v>
      </c>
      <c r="AE125" s="194">
        <f t="shared" si="42"/>
        <v>0</v>
      </c>
      <c r="AF125" s="194">
        <v>0</v>
      </c>
      <c r="AG125" s="194">
        <v>0</v>
      </c>
      <c r="AH125" s="194">
        <v>0</v>
      </c>
      <c r="AI125" s="194">
        <v>0</v>
      </c>
      <c r="AJ125" s="194">
        <v>0</v>
      </c>
      <c r="AK125" s="194">
        <f t="shared" si="43"/>
        <v>0</v>
      </c>
    </row>
    <row r="126" spans="1:37" ht="15" customHeight="1" x14ac:dyDescent="0.25">
      <c r="A126" s="192" t="s">
        <v>1241</v>
      </c>
      <c r="B126" s="192" t="s">
        <v>600</v>
      </c>
      <c r="C126" s="192" t="s">
        <v>1242</v>
      </c>
      <c r="D126" s="192" t="s">
        <v>997</v>
      </c>
      <c r="E126" s="192" t="s">
        <v>998</v>
      </c>
      <c r="F126" s="192" t="s">
        <v>1243</v>
      </c>
      <c r="G126" s="193">
        <v>46165</v>
      </c>
      <c r="H126" s="192" t="s">
        <v>1000</v>
      </c>
      <c r="I126" s="192" t="s">
        <v>1207</v>
      </c>
      <c r="J126" s="192" t="s">
        <v>1208</v>
      </c>
      <c r="K126" s="192" t="s">
        <v>13</v>
      </c>
      <c r="L126" s="192">
        <v>2</v>
      </c>
      <c r="M126" s="193">
        <v>46218</v>
      </c>
      <c r="N126" s="192">
        <v>2</v>
      </c>
      <c r="O126" s="192">
        <v>2</v>
      </c>
      <c r="P126" s="192">
        <v>2</v>
      </c>
      <c r="Q126" s="192">
        <v>2</v>
      </c>
      <c r="R126" s="192">
        <v>2</v>
      </c>
      <c r="S126" s="192">
        <v>2</v>
      </c>
      <c r="T126" s="192">
        <v>2</v>
      </c>
      <c r="U126" s="192">
        <f t="shared" si="33"/>
        <v>0</v>
      </c>
      <c r="V126" s="192">
        <v>2</v>
      </c>
      <c r="W126" s="192">
        <f t="shared" si="34"/>
        <v>0</v>
      </c>
      <c r="X126" s="194">
        <f t="shared" si="35"/>
        <v>0</v>
      </c>
      <c r="Y126" s="194">
        <f t="shared" si="36"/>
        <v>0</v>
      </c>
      <c r="Z126" s="194">
        <f t="shared" si="37"/>
        <v>0</v>
      </c>
      <c r="AA126" s="194">
        <f t="shared" si="38"/>
        <v>0</v>
      </c>
      <c r="AB126" s="194">
        <f t="shared" si="39"/>
        <v>0</v>
      </c>
      <c r="AC126" s="194">
        <f t="shared" si="40"/>
        <v>0</v>
      </c>
      <c r="AD126" s="194">
        <f t="shared" si="41"/>
        <v>0</v>
      </c>
      <c r="AE126" s="194">
        <f t="shared" si="42"/>
        <v>0</v>
      </c>
      <c r="AF126" s="194">
        <v>0</v>
      </c>
      <c r="AG126" s="194">
        <v>0</v>
      </c>
      <c r="AH126" s="194">
        <v>0</v>
      </c>
      <c r="AI126" s="194">
        <v>0</v>
      </c>
      <c r="AJ126" s="194">
        <v>0</v>
      </c>
      <c r="AK126" s="194">
        <f t="shared" si="43"/>
        <v>0</v>
      </c>
    </row>
    <row r="127" spans="1:37" ht="15" customHeight="1" x14ac:dyDescent="0.25">
      <c r="A127" s="192" t="s">
        <v>1244</v>
      </c>
      <c r="B127" s="192" t="s">
        <v>587</v>
      </c>
      <c r="C127" s="192" t="s">
        <v>871</v>
      </c>
      <c r="D127" s="192" t="s">
        <v>997</v>
      </c>
      <c r="E127" s="192" t="s">
        <v>998</v>
      </c>
      <c r="F127" s="192" t="s">
        <v>1245</v>
      </c>
      <c r="G127" s="193">
        <v>46165</v>
      </c>
      <c r="H127" s="192" t="s">
        <v>1000</v>
      </c>
      <c r="I127" s="192" t="s">
        <v>1005</v>
      </c>
      <c r="J127" s="192" t="s">
        <v>1006</v>
      </c>
      <c r="K127" s="192" t="s">
        <v>13</v>
      </c>
      <c r="L127" s="192">
        <v>20</v>
      </c>
      <c r="M127" s="193">
        <v>46218</v>
      </c>
      <c r="N127" s="192">
        <v>20</v>
      </c>
      <c r="O127" s="192">
        <v>20</v>
      </c>
      <c r="P127" s="192">
        <v>20</v>
      </c>
      <c r="Q127" s="192">
        <v>20</v>
      </c>
      <c r="R127" s="192">
        <v>20</v>
      </c>
      <c r="S127" s="192">
        <v>20</v>
      </c>
      <c r="T127" s="192">
        <v>20</v>
      </c>
      <c r="U127" s="192">
        <f t="shared" si="33"/>
        <v>0</v>
      </c>
      <c r="V127" s="192">
        <v>20</v>
      </c>
      <c r="W127" s="192">
        <f t="shared" si="34"/>
        <v>0</v>
      </c>
      <c r="X127" s="194">
        <f t="shared" si="35"/>
        <v>0</v>
      </c>
      <c r="Y127" s="194">
        <f t="shared" si="36"/>
        <v>0</v>
      </c>
      <c r="Z127" s="194">
        <f t="shared" si="37"/>
        <v>0</v>
      </c>
      <c r="AA127" s="194">
        <f t="shared" si="38"/>
        <v>0</v>
      </c>
      <c r="AB127" s="194">
        <f t="shared" si="39"/>
        <v>0</v>
      </c>
      <c r="AC127" s="194">
        <f t="shared" si="40"/>
        <v>0</v>
      </c>
      <c r="AD127" s="194">
        <f t="shared" si="41"/>
        <v>0</v>
      </c>
      <c r="AE127" s="194">
        <f t="shared" si="42"/>
        <v>0</v>
      </c>
      <c r="AF127" s="194">
        <v>0</v>
      </c>
      <c r="AG127" s="194">
        <v>0</v>
      </c>
      <c r="AH127" s="194">
        <v>0</v>
      </c>
      <c r="AI127" s="194">
        <v>0</v>
      </c>
      <c r="AJ127" s="194">
        <v>0</v>
      </c>
      <c r="AK127" s="194">
        <f t="shared" si="43"/>
        <v>0</v>
      </c>
    </row>
    <row r="128" spans="1:37" ht="15" customHeight="1" x14ac:dyDescent="0.25">
      <c r="A128" s="192" t="s">
        <v>1244</v>
      </c>
      <c r="B128" s="192" t="s">
        <v>587</v>
      </c>
      <c r="C128" s="192" t="s">
        <v>871</v>
      </c>
      <c r="D128" s="192" t="s">
        <v>997</v>
      </c>
      <c r="E128" s="192" t="s">
        <v>998</v>
      </c>
      <c r="F128" s="192" t="s">
        <v>1245</v>
      </c>
      <c r="G128" s="193">
        <v>46165</v>
      </c>
      <c r="H128" s="192" t="s">
        <v>1000</v>
      </c>
      <c r="I128" s="192" t="s">
        <v>1007</v>
      </c>
      <c r="J128" s="192" t="s">
        <v>1008</v>
      </c>
      <c r="K128" s="192" t="s">
        <v>13</v>
      </c>
      <c r="L128" s="192">
        <v>30</v>
      </c>
      <c r="M128" s="193">
        <v>46218</v>
      </c>
      <c r="N128" s="192">
        <v>30</v>
      </c>
      <c r="O128" s="192">
        <v>30</v>
      </c>
      <c r="P128" s="192">
        <v>30</v>
      </c>
      <c r="Q128" s="192">
        <v>30</v>
      </c>
      <c r="R128" s="192">
        <v>30</v>
      </c>
      <c r="S128" s="192">
        <v>30</v>
      </c>
      <c r="T128" s="192">
        <v>30</v>
      </c>
      <c r="U128" s="192">
        <f t="shared" si="33"/>
        <v>0</v>
      </c>
      <c r="V128" s="192">
        <v>30</v>
      </c>
      <c r="W128" s="192">
        <f t="shared" si="34"/>
        <v>0</v>
      </c>
      <c r="X128" s="194">
        <f t="shared" si="35"/>
        <v>0</v>
      </c>
      <c r="Y128" s="194">
        <f t="shared" si="36"/>
        <v>0</v>
      </c>
      <c r="Z128" s="194">
        <f t="shared" si="37"/>
        <v>0</v>
      </c>
      <c r="AA128" s="194">
        <f t="shared" si="38"/>
        <v>0</v>
      </c>
      <c r="AB128" s="194">
        <f t="shared" si="39"/>
        <v>0</v>
      </c>
      <c r="AC128" s="194">
        <f t="shared" si="40"/>
        <v>0</v>
      </c>
      <c r="AD128" s="194">
        <f t="shared" si="41"/>
        <v>0</v>
      </c>
      <c r="AE128" s="194">
        <f t="shared" si="42"/>
        <v>0</v>
      </c>
      <c r="AF128" s="194">
        <v>0</v>
      </c>
      <c r="AG128" s="194">
        <v>0</v>
      </c>
      <c r="AH128" s="194">
        <v>0</v>
      </c>
      <c r="AI128" s="194">
        <v>0</v>
      </c>
      <c r="AJ128" s="194">
        <v>0</v>
      </c>
      <c r="AK128" s="194">
        <f t="shared" si="43"/>
        <v>0</v>
      </c>
    </row>
    <row r="129" spans="1:37" ht="15" customHeight="1" x14ac:dyDescent="0.25">
      <c r="A129" s="192" t="s">
        <v>1244</v>
      </c>
      <c r="B129" s="192" t="s">
        <v>587</v>
      </c>
      <c r="C129" s="192" t="s">
        <v>871</v>
      </c>
      <c r="D129" s="192" t="s">
        <v>997</v>
      </c>
      <c r="E129" s="192" t="s">
        <v>998</v>
      </c>
      <c r="F129" s="192" t="s">
        <v>1245</v>
      </c>
      <c r="G129" s="193">
        <v>46165</v>
      </c>
      <c r="H129" s="192" t="s">
        <v>1000</v>
      </c>
      <c r="I129" s="192" t="s">
        <v>1009</v>
      </c>
      <c r="J129" s="192" t="s">
        <v>1010</v>
      </c>
      <c r="K129" s="192" t="s">
        <v>13</v>
      </c>
      <c r="L129" s="192">
        <v>30</v>
      </c>
      <c r="M129" s="193">
        <v>46218</v>
      </c>
      <c r="N129" s="192">
        <v>30</v>
      </c>
      <c r="O129" s="192">
        <v>30</v>
      </c>
      <c r="P129" s="192">
        <v>30</v>
      </c>
      <c r="Q129" s="192">
        <v>30</v>
      </c>
      <c r="R129" s="192">
        <v>30</v>
      </c>
      <c r="S129" s="192">
        <v>30</v>
      </c>
      <c r="T129" s="192">
        <v>30</v>
      </c>
      <c r="U129" s="192">
        <f t="shared" si="33"/>
        <v>0</v>
      </c>
      <c r="V129" s="192">
        <v>30</v>
      </c>
      <c r="W129" s="192">
        <f t="shared" si="34"/>
        <v>0</v>
      </c>
      <c r="X129" s="194">
        <f t="shared" si="35"/>
        <v>0</v>
      </c>
      <c r="Y129" s="194">
        <f t="shared" si="36"/>
        <v>0</v>
      </c>
      <c r="Z129" s="194">
        <f t="shared" si="37"/>
        <v>0</v>
      </c>
      <c r="AA129" s="194">
        <f t="shared" si="38"/>
        <v>0</v>
      </c>
      <c r="AB129" s="194">
        <f t="shared" si="39"/>
        <v>0</v>
      </c>
      <c r="AC129" s="194">
        <f t="shared" si="40"/>
        <v>0</v>
      </c>
      <c r="AD129" s="194">
        <f t="shared" si="41"/>
        <v>0</v>
      </c>
      <c r="AE129" s="194">
        <f t="shared" si="42"/>
        <v>0</v>
      </c>
      <c r="AF129" s="194">
        <v>0</v>
      </c>
      <c r="AG129" s="194">
        <v>0</v>
      </c>
      <c r="AH129" s="194">
        <v>0</v>
      </c>
      <c r="AI129" s="194">
        <v>0</v>
      </c>
      <c r="AJ129" s="194">
        <v>0</v>
      </c>
      <c r="AK129" s="194">
        <f t="shared" si="43"/>
        <v>0</v>
      </c>
    </row>
    <row r="130" spans="1:37" ht="15" customHeight="1" x14ac:dyDescent="0.25">
      <c r="A130" s="192" t="s">
        <v>1244</v>
      </c>
      <c r="B130" s="192" t="s">
        <v>587</v>
      </c>
      <c r="C130" s="192" t="s">
        <v>871</v>
      </c>
      <c r="D130" s="192" t="s">
        <v>997</v>
      </c>
      <c r="E130" s="192" t="s">
        <v>998</v>
      </c>
      <c r="F130" s="192" t="s">
        <v>1245</v>
      </c>
      <c r="G130" s="193">
        <v>46165</v>
      </c>
      <c r="H130" s="192" t="s">
        <v>1000</v>
      </c>
      <c r="I130" s="192" t="s">
        <v>1011</v>
      </c>
      <c r="J130" s="192" t="s">
        <v>1012</v>
      </c>
      <c r="K130" s="192" t="s">
        <v>13</v>
      </c>
      <c r="L130" s="192">
        <v>20</v>
      </c>
      <c r="M130" s="193">
        <v>46218</v>
      </c>
      <c r="N130" s="192">
        <v>20</v>
      </c>
      <c r="O130" s="192">
        <v>20</v>
      </c>
      <c r="P130" s="192">
        <v>20</v>
      </c>
      <c r="Q130" s="192">
        <v>20</v>
      </c>
      <c r="R130" s="192">
        <v>20</v>
      </c>
      <c r="S130" s="192">
        <v>20</v>
      </c>
      <c r="T130" s="192">
        <v>20</v>
      </c>
      <c r="U130" s="192">
        <f t="shared" ref="U130:U161" si="44">L130-T130</f>
        <v>0</v>
      </c>
      <c r="V130" s="192">
        <v>20</v>
      </c>
      <c r="W130" s="192">
        <f t="shared" ref="W130:W161" si="45">T130-V130</f>
        <v>0</v>
      </c>
      <c r="X130" s="194">
        <f t="shared" ref="X130:X161" si="46">IF(N130-O130&gt;0,1,0)</f>
        <v>0</v>
      </c>
      <c r="Y130" s="194">
        <f t="shared" ref="Y130:Y161" si="47">IF(O130-P130&gt;0,1,0)</f>
        <v>0</v>
      </c>
      <c r="Z130" s="194">
        <f t="shared" ref="Z130:Z161" si="48">IF(P130-Q130&gt;0,1,0)</f>
        <v>0</v>
      </c>
      <c r="AA130" s="194">
        <f t="shared" ref="AA130:AA161" si="49">IF(Q130-R130&gt;0,1,0)</f>
        <v>0</v>
      </c>
      <c r="AB130" s="194">
        <f t="shared" ref="AB130:AB161" si="50">IF(R130-S130&gt;0,1,0)</f>
        <v>0</v>
      </c>
      <c r="AC130" s="194">
        <f t="shared" ref="AC130:AC161" si="51">IF(S130-T130&gt;0,1,0)</f>
        <v>0</v>
      </c>
      <c r="AD130" s="194">
        <f t="shared" ref="AD130:AD161" si="52">IF(L130-V130&gt;0,1,0)</f>
        <v>0</v>
      </c>
      <c r="AE130" s="194">
        <f t="shared" ref="AE130:AE161" si="53">IF(L130-T130&gt;0,1,0)</f>
        <v>0</v>
      </c>
      <c r="AF130" s="194">
        <v>0</v>
      </c>
      <c r="AG130" s="194">
        <v>0</v>
      </c>
      <c r="AH130" s="194">
        <v>0</v>
      </c>
      <c r="AI130" s="194">
        <v>0</v>
      </c>
      <c r="AJ130" s="194">
        <v>0</v>
      </c>
      <c r="AK130" s="194">
        <f t="shared" ref="AK130:AK161" si="54">IF(T130-V130&gt;0,1,0)</f>
        <v>0</v>
      </c>
    </row>
    <row r="131" spans="1:37" ht="15" customHeight="1" x14ac:dyDescent="0.25">
      <c r="A131" s="192" t="s">
        <v>1244</v>
      </c>
      <c r="B131" s="192" t="s">
        <v>587</v>
      </c>
      <c r="C131" s="192" t="s">
        <v>871</v>
      </c>
      <c r="D131" s="192" t="s">
        <v>997</v>
      </c>
      <c r="E131" s="192" t="s">
        <v>998</v>
      </c>
      <c r="F131" s="192" t="s">
        <v>1245</v>
      </c>
      <c r="G131" s="193">
        <v>46165</v>
      </c>
      <c r="H131" s="192" t="s">
        <v>1000</v>
      </c>
      <c r="I131" s="192" t="s">
        <v>1013</v>
      </c>
      <c r="J131" s="192" t="s">
        <v>1014</v>
      </c>
      <c r="K131" s="192" t="s">
        <v>13</v>
      </c>
      <c r="L131" s="192">
        <v>20</v>
      </c>
      <c r="M131" s="193">
        <v>46218</v>
      </c>
      <c r="N131" s="192">
        <v>20</v>
      </c>
      <c r="O131" s="192">
        <v>20</v>
      </c>
      <c r="P131" s="192">
        <v>20</v>
      </c>
      <c r="Q131" s="192">
        <v>20</v>
      </c>
      <c r="R131" s="192">
        <v>20</v>
      </c>
      <c r="S131" s="192">
        <v>20</v>
      </c>
      <c r="T131" s="192">
        <v>20</v>
      </c>
      <c r="U131" s="192">
        <f t="shared" si="44"/>
        <v>0</v>
      </c>
      <c r="V131" s="192">
        <v>20</v>
      </c>
      <c r="W131" s="192">
        <f t="shared" si="45"/>
        <v>0</v>
      </c>
      <c r="X131" s="194">
        <f t="shared" si="46"/>
        <v>0</v>
      </c>
      <c r="Y131" s="194">
        <f t="shared" si="47"/>
        <v>0</v>
      </c>
      <c r="Z131" s="194">
        <f t="shared" si="48"/>
        <v>0</v>
      </c>
      <c r="AA131" s="194">
        <f t="shared" si="49"/>
        <v>0</v>
      </c>
      <c r="AB131" s="194">
        <f t="shared" si="50"/>
        <v>0</v>
      </c>
      <c r="AC131" s="194">
        <f t="shared" si="51"/>
        <v>0</v>
      </c>
      <c r="AD131" s="194">
        <f t="shared" si="52"/>
        <v>0</v>
      </c>
      <c r="AE131" s="194">
        <f t="shared" si="53"/>
        <v>0</v>
      </c>
      <c r="AF131" s="194">
        <v>0</v>
      </c>
      <c r="AG131" s="194">
        <v>0</v>
      </c>
      <c r="AH131" s="194">
        <v>0</v>
      </c>
      <c r="AI131" s="194">
        <v>0</v>
      </c>
      <c r="AJ131" s="194">
        <v>0</v>
      </c>
      <c r="AK131" s="194">
        <f t="shared" si="54"/>
        <v>0</v>
      </c>
    </row>
    <row r="132" spans="1:37" ht="15" customHeight="1" x14ac:dyDescent="0.25">
      <c r="A132" s="192" t="s">
        <v>1246</v>
      </c>
      <c r="B132" s="192" t="s">
        <v>1247</v>
      </c>
      <c r="C132" s="192" t="s">
        <v>692</v>
      </c>
      <c r="D132" s="192" t="s">
        <v>1160</v>
      </c>
      <c r="E132" s="192" t="s">
        <v>998</v>
      </c>
      <c r="F132" s="192" t="s">
        <v>1248</v>
      </c>
      <c r="G132" s="193">
        <v>46186</v>
      </c>
      <c r="H132" s="192" t="s">
        <v>1000</v>
      </c>
      <c r="I132" s="192" t="s">
        <v>1249</v>
      </c>
      <c r="J132" s="192" t="s">
        <v>1250</v>
      </c>
      <c r="K132" s="192" t="s">
        <v>13</v>
      </c>
      <c r="L132" s="192">
        <v>1</v>
      </c>
      <c r="M132" s="193">
        <v>46213</v>
      </c>
      <c r="N132" s="192">
        <v>1</v>
      </c>
      <c r="O132" s="192">
        <v>1</v>
      </c>
      <c r="P132" s="192">
        <v>1</v>
      </c>
      <c r="Q132" s="192">
        <v>1</v>
      </c>
      <c r="R132" s="192">
        <v>1</v>
      </c>
      <c r="S132" s="192">
        <v>1</v>
      </c>
      <c r="T132" s="192">
        <v>1</v>
      </c>
      <c r="U132" s="192">
        <f t="shared" si="44"/>
        <v>0</v>
      </c>
      <c r="V132" s="192">
        <v>1</v>
      </c>
      <c r="W132" s="192">
        <f t="shared" si="45"/>
        <v>0</v>
      </c>
      <c r="X132" s="194">
        <f t="shared" si="46"/>
        <v>0</v>
      </c>
      <c r="Y132" s="194">
        <f t="shared" si="47"/>
        <v>0</v>
      </c>
      <c r="Z132" s="194">
        <f t="shared" si="48"/>
        <v>0</v>
      </c>
      <c r="AA132" s="194">
        <f t="shared" si="49"/>
        <v>0</v>
      </c>
      <c r="AB132" s="194">
        <f t="shared" si="50"/>
        <v>0</v>
      </c>
      <c r="AC132" s="194">
        <f t="shared" si="51"/>
        <v>0</v>
      </c>
      <c r="AD132" s="194">
        <f t="shared" si="52"/>
        <v>0</v>
      </c>
      <c r="AE132" s="194">
        <f t="shared" si="53"/>
        <v>0</v>
      </c>
      <c r="AF132" s="194">
        <v>0</v>
      </c>
      <c r="AG132" s="194">
        <v>0</v>
      </c>
      <c r="AH132" s="194">
        <v>0</v>
      </c>
      <c r="AI132" s="194">
        <v>0</v>
      </c>
      <c r="AJ132" s="194">
        <v>0</v>
      </c>
      <c r="AK132" s="194">
        <f t="shared" si="54"/>
        <v>0</v>
      </c>
    </row>
    <row r="133" spans="1:37" ht="15" customHeight="1" x14ac:dyDescent="0.25">
      <c r="A133" s="192" t="s">
        <v>1251</v>
      </c>
      <c r="B133" s="192" t="s">
        <v>630</v>
      </c>
      <c r="C133" s="192" t="s">
        <v>826</v>
      </c>
      <c r="D133" s="192" t="s">
        <v>997</v>
      </c>
      <c r="E133" s="192" t="s">
        <v>998</v>
      </c>
      <c r="F133" s="192" t="s">
        <v>1252</v>
      </c>
      <c r="G133" s="193">
        <v>46181</v>
      </c>
      <c r="H133" s="192" t="s">
        <v>1000</v>
      </c>
      <c r="I133" s="192" t="s">
        <v>1249</v>
      </c>
      <c r="J133" s="192" t="s">
        <v>1250</v>
      </c>
      <c r="K133" s="192" t="s">
        <v>13</v>
      </c>
      <c r="L133" s="192">
        <v>48</v>
      </c>
      <c r="M133" s="193">
        <v>46233</v>
      </c>
      <c r="N133" s="192">
        <v>48</v>
      </c>
      <c r="O133" s="192">
        <v>48</v>
      </c>
      <c r="P133" s="192">
        <v>48</v>
      </c>
      <c r="Q133" s="192">
        <v>48</v>
      </c>
      <c r="R133" s="192">
        <v>48</v>
      </c>
      <c r="S133" s="192">
        <v>48</v>
      </c>
      <c r="T133" s="192">
        <v>48</v>
      </c>
      <c r="U133" s="192">
        <f t="shared" si="44"/>
        <v>0</v>
      </c>
      <c r="V133" s="192">
        <v>48</v>
      </c>
      <c r="W133" s="192">
        <f t="shared" si="45"/>
        <v>0</v>
      </c>
      <c r="X133" s="194">
        <f t="shared" si="46"/>
        <v>0</v>
      </c>
      <c r="Y133" s="194">
        <f t="shared" si="47"/>
        <v>0</v>
      </c>
      <c r="Z133" s="194">
        <f t="shared" si="48"/>
        <v>0</v>
      </c>
      <c r="AA133" s="194">
        <f t="shared" si="49"/>
        <v>0</v>
      </c>
      <c r="AB133" s="194">
        <f t="shared" si="50"/>
        <v>0</v>
      </c>
      <c r="AC133" s="194">
        <f t="shared" si="51"/>
        <v>0</v>
      </c>
      <c r="AD133" s="194">
        <f t="shared" si="52"/>
        <v>0</v>
      </c>
      <c r="AE133" s="194">
        <f t="shared" si="53"/>
        <v>0</v>
      </c>
      <c r="AF133" s="194">
        <v>0</v>
      </c>
      <c r="AG133" s="194">
        <v>0</v>
      </c>
      <c r="AH133" s="194">
        <v>0</v>
      </c>
      <c r="AI133" s="194">
        <v>0</v>
      </c>
      <c r="AJ133" s="194">
        <v>0</v>
      </c>
      <c r="AK133" s="194">
        <f t="shared" si="54"/>
        <v>0</v>
      </c>
    </row>
    <row r="134" spans="1:37" ht="15" customHeight="1" x14ac:dyDescent="0.25">
      <c r="A134" s="192" t="s">
        <v>1251</v>
      </c>
      <c r="B134" s="192" t="s">
        <v>630</v>
      </c>
      <c r="C134" s="192" t="s">
        <v>826</v>
      </c>
      <c r="D134" s="192" t="s">
        <v>997</v>
      </c>
      <c r="E134" s="192" t="s">
        <v>998</v>
      </c>
      <c r="F134" s="192" t="s">
        <v>1252</v>
      </c>
      <c r="G134" s="193">
        <v>46181</v>
      </c>
      <c r="H134" s="192" t="s">
        <v>1000</v>
      </c>
      <c r="I134" s="192" t="s">
        <v>1253</v>
      </c>
      <c r="J134" s="192" t="s">
        <v>1254</v>
      </c>
      <c r="K134" s="192" t="s">
        <v>13</v>
      </c>
      <c r="L134" s="192">
        <v>50</v>
      </c>
      <c r="M134" s="193">
        <v>46233</v>
      </c>
      <c r="N134" s="192">
        <v>50</v>
      </c>
      <c r="O134" s="192">
        <v>50</v>
      </c>
      <c r="P134" s="192">
        <v>50</v>
      </c>
      <c r="Q134" s="192">
        <v>50</v>
      </c>
      <c r="R134" s="192">
        <v>50</v>
      </c>
      <c r="S134" s="192">
        <v>50</v>
      </c>
      <c r="T134" s="192">
        <v>50</v>
      </c>
      <c r="U134" s="192">
        <f t="shared" si="44"/>
        <v>0</v>
      </c>
      <c r="V134" s="192">
        <v>50</v>
      </c>
      <c r="W134" s="192">
        <f t="shared" si="45"/>
        <v>0</v>
      </c>
      <c r="X134" s="194">
        <f t="shared" si="46"/>
        <v>0</v>
      </c>
      <c r="Y134" s="194">
        <f t="shared" si="47"/>
        <v>0</v>
      </c>
      <c r="Z134" s="194">
        <f t="shared" si="48"/>
        <v>0</v>
      </c>
      <c r="AA134" s="194">
        <f t="shared" si="49"/>
        <v>0</v>
      </c>
      <c r="AB134" s="194">
        <f t="shared" si="50"/>
        <v>0</v>
      </c>
      <c r="AC134" s="194">
        <f t="shared" si="51"/>
        <v>0</v>
      </c>
      <c r="AD134" s="194">
        <f t="shared" si="52"/>
        <v>0</v>
      </c>
      <c r="AE134" s="194">
        <f t="shared" si="53"/>
        <v>0</v>
      </c>
      <c r="AF134" s="194">
        <v>0</v>
      </c>
      <c r="AG134" s="194">
        <v>0</v>
      </c>
      <c r="AH134" s="194">
        <v>0</v>
      </c>
      <c r="AI134" s="194">
        <v>0</v>
      </c>
      <c r="AJ134" s="194">
        <v>0</v>
      </c>
      <c r="AK134" s="194">
        <f t="shared" si="54"/>
        <v>0</v>
      </c>
    </row>
    <row r="135" spans="1:37" ht="15" customHeight="1" x14ac:dyDescent="0.25">
      <c r="A135" s="192" t="s">
        <v>1251</v>
      </c>
      <c r="B135" s="192" t="s">
        <v>630</v>
      </c>
      <c r="C135" s="192" t="s">
        <v>826</v>
      </c>
      <c r="D135" s="192" t="s">
        <v>997</v>
      </c>
      <c r="E135" s="192" t="s">
        <v>998</v>
      </c>
      <c r="F135" s="192" t="s">
        <v>1252</v>
      </c>
      <c r="G135" s="193">
        <v>46181</v>
      </c>
      <c r="H135" s="192" t="s">
        <v>1000</v>
      </c>
      <c r="I135" s="192" t="s">
        <v>1001</v>
      </c>
      <c r="J135" s="192" t="s">
        <v>1002</v>
      </c>
      <c r="K135" s="192" t="s">
        <v>13</v>
      </c>
      <c r="L135" s="192">
        <v>20</v>
      </c>
      <c r="M135" s="193">
        <v>46233</v>
      </c>
      <c r="N135" s="192">
        <v>20</v>
      </c>
      <c r="O135" s="192">
        <v>20</v>
      </c>
      <c r="P135" s="192">
        <v>20</v>
      </c>
      <c r="Q135" s="192">
        <v>20</v>
      </c>
      <c r="R135" s="192">
        <v>20</v>
      </c>
      <c r="S135" s="192">
        <v>20</v>
      </c>
      <c r="T135" s="192">
        <v>20</v>
      </c>
      <c r="U135" s="192">
        <f t="shared" si="44"/>
        <v>0</v>
      </c>
      <c r="V135" s="192">
        <v>20</v>
      </c>
      <c r="W135" s="192">
        <f t="shared" si="45"/>
        <v>0</v>
      </c>
      <c r="X135" s="194">
        <f t="shared" si="46"/>
        <v>0</v>
      </c>
      <c r="Y135" s="194">
        <f t="shared" si="47"/>
        <v>0</v>
      </c>
      <c r="Z135" s="194">
        <f t="shared" si="48"/>
        <v>0</v>
      </c>
      <c r="AA135" s="194">
        <f t="shared" si="49"/>
        <v>0</v>
      </c>
      <c r="AB135" s="194">
        <f t="shared" si="50"/>
        <v>0</v>
      </c>
      <c r="AC135" s="194">
        <f t="shared" si="51"/>
        <v>0</v>
      </c>
      <c r="AD135" s="194">
        <f t="shared" si="52"/>
        <v>0</v>
      </c>
      <c r="AE135" s="194">
        <f t="shared" si="53"/>
        <v>0</v>
      </c>
      <c r="AF135" s="194">
        <v>0</v>
      </c>
      <c r="AG135" s="194">
        <v>0</v>
      </c>
      <c r="AH135" s="194">
        <v>0</v>
      </c>
      <c r="AI135" s="194">
        <v>0</v>
      </c>
      <c r="AJ135" s="194">
        <v>0</v>
      </c>
      <c r="AK135" s="194">
        <f t="shared" si="54"/>
        <v>0</v>
      </c>
    </row>
    <row r="136" spans="1:37" ht="15" customHeight="1" x14ac:dyDescent="0.25">
      <c r="A136" s="192" t="s">
        <v>1251</v>
      </c>
      <c r="B136" s="192" t="s">
        <v>630</v>
      </c>
      <c r="C136" s="192" t="s">
        <v>826</v>
      </c>
      <c r="D136" s="192" t="s">
        <v>997</v>
      </c>
      <c r="E136" s="192" t="s">
        <v>998</v>
      </c>
      <c r="F136" s="192" t="s">
        <v>1252</v>
      </c>
      <c r="G136" s="193">
        <v>46181</v>
      </c>
      <c r="H136" s="192" t="s">
        <v>1000</v>
      </c>
      <c r="I136" s="192" t="s">
        <v>1059</v>
      </c>
      <c r="J136" s="192" t="s">
        <v>1060</v>
      </c>
      <c r="K136" s="192" t="s">
        <v>13</v>
      </c>
      <c r="L136" s="192">
        <v>30</v>
      </c>
      <c r="M136" s="193">
        <v>46233</v>
      </c>
      <c r="N136" s="192">
        <v>30</v>
      </c>
      <c r="O136" s="192">
        <v>30</v>
      </c>
      <c r="P136" s="192">
        <v>30</v>
      </c>
      <c r="Q136" s="192">
        <v>30</v>
      </c>
      <c r="R136" s="192">
        <v>30</v>
      </c>
      <c r="S136" s="192">
        <v>30</v>
      </c>
      <c r="T136" s="192">
        <v>30</v>
      </c>
      <c r="U136" s="192">
        <f t="shared" si="44"/>
        <v>0</v>
      </c>
      <c r="V136" s="192">
        <v>30</v>
      </c>
      <c r="W136" s="192">
        <f t="shared" si="45"/>
        <v>0</v>
      </c>
      <c r="X136" s="194">
        <f t="shared" si="46"/>
        <v>0</v>
      </c>
      <c r="Y136" s="194">
        <f t="shared" si="47"/>
        <v>0</v>
      </c>
      <c r="Z136" s="194">
        <f t="shared" si="48"/>
        <v>0</v>
      </c>
      <c r="AA136" s="194">
        <f t="shared" si="49"/>
        <v>0</v>
      </c>
      <c r="AB136" s="194">
        <f t="shared" si="50"/>
        <v>0</v>
      </c>
      <c r="AC136" s="194">
        <f t="shared" si="51"/>
        <v>0</v>
      </c>
      <c r="AD136" s="194">
        <f t="shared" si="52"/>
        <v>0</v>
      </c>
      <c r="AE136" s="194">
        <f t="shared" si="53"/>
        <v>0</v>
      </c>
      <c r="AF136" s="194">
        <v>0</v>
      </c>
      <c r="AG136" s="194">
        <v>0</v>
      </c>
      <c r="AH136" s="194">
        <v>0</v>
      </c>
      <c r="AI136" s="194">
        <v>0</v>
      </c>
      <c r="AJ136" s="194">
        <v>0</v>
      </c>
      <c r="AK136" s="194">
        <f t="shared" si="54"/>
        <v>0</v>
      </c>
    </row>
    <row r="137" spans="1:37" ht="15" customHeight="1" x14ac:dyDescent="0.25">
      <c r="A137" s="192" t="s">
        <v>1251</v>
      </c>
      <c r="B137" s="192" t="s">
        <v>630</v>
      </c>
      <c r="C137" s="192" t="s">
        <v>826</v>
      </c>
      <c r="D137" s="192" t="s">
        <v>997</v>
      </c>
      <c r="E137" s="192" t="s">
        <v>998</v>
      </c>
      <c r="F137" s="192" t="s">
        <v>1255</v>
      </c>
      <c r="G137" s="193">
        <v>46186</v>
      </c>
      <c r="H137" s="192" t="s">
        <v>1000</v>
      </c>
      <c r="I137" s="192" t="s">
        <v>1065</v>
      </c>
      <c r="J137" s="192" t="s">
        <v>1256</v>
      </c>
      <c r="K137" s="192" t="s">
        <v>13</v>
      </c>
      <c r="L137" s="192">
        <v>12</v>
      </c>
      <c r="M137" s="193">
        <v>46244</v>
      </c>
      <c r="N137" s="192">
        <v>12</v>
      </c>
      <c r="O137" s="192">
        <v>12</v>
      </c>
      <c r="P137" s="192">
        <v>12</v>
      </c>
      <c r="Q137" s="192">
        <v>12</v>
      </c>
      <c r="R137" s="192">
        <v>12</v>
      </c>
      <c r="S137" s="192">
        <v>12</v>
      </c>
      <c r="T137" s="192">
        <v>12</v>
      </c>
      <c r="U137" s="192">
        <f t="shared" si="44"/>
        <v>0</v>
      </c>
      <c r="V137" s="192">
        <v>12</v>
      </c>
      <c r="W137" s="192">
        <f t="shared" si="45"/>
        <v>0</v>
      </c>
      <c r="X137" s="194">
        <f t="shared" si="46"/>
        <v>0</v>
      </c>
      <c r="Y137" s="194">
        <f t="shared" si="47"/>
        <v>0</v>
      </c>
      <c r="Z137" s="194">
        <f t="shared" si="48"/>
        <v>0</v>
      </c>
      <c r="AA137" s="194">
        <f t="shared" si="49"/>
        <v>0</v>
      </c>
      <c r="AB137" s="194">
        <f t="shared" si="50"/>
        <v>0</v>
      </c>
      <c r="AC137" s="194">
        <f t="shared" si="51"/>
        <v>0</v>
      </c>
      <c r="AD137" s="194">
        <f t="shared" si="52"/>
        <v>0</v>
      </c>
      <c r="AE137" s="194">
        <f t="shared" si="53"/>
        <v>0</v>
      </c>
      <c r="AF137" s="194">
        <v>0</v>
      </c>
      <c r="AG137" s="194">
        <v>0</v>
      </c>
      <c r="AH137" s="194">
        <v>0</v>
      </c>
      <c r="AI137" s="194">
        <v>0</v>
      </c>
      <c r="AJ137" s="194">
        <v>0</v>
      </c>
      <c r="AK137" s="194">
        <f t="shared" si="54"/>
        <v>0</v>
      </c>
    </row>
    <row r="138" spans="1:37" ht="15" customHeight="1" x14ac:dyDescent="0.25">
      <c r="A138" s="192" t="s">
        <v>1257</v>
      </c>
      <c r="B138" s="192" t="s">
        <v>1258</v>
      </c>
      <c r="C138" s="192" t="s">
        <v>1259</v>
      </c>
      <c r="D138" s="192" t="s">
        <v>997</v>
      </c>
      <c r="E138" s="192" t="s">
        <v>998</v>
      </c>
      <c r="F138" s="192" t="s">
        <v>1260</v>
      </c>
      <c r="G138" s="193">
        <v>46206</v>
      </c>
      <c r="H138" s="192" t="s">
        <v>1000</v>
      </c>
      <c r="I138" s="192" t="s">
        <v>1005</v>
      </c>
      <c r="J138" s="192" t="s">
        <v>1006</v>
      </c>
      <c r="K138" s="192" t="s">
        <v>13</v>
      </c>
      <c r="L138" s="192">
        <v>8</v>
      </c>
      <c r="M138" s="193">
        <v>46228</v>
      </c>
      <c r="N138" s="192">
        <v>8</v>
      </c>
      <c r="O138" s="192">
        <v>8</v>
      </c>
      <c r="P138" s="192">
        <v>8</v>
      </c>
      <c r="Q138" s="192">
        <v>8</v>
      </c>
      <c r="R138" s="192">
        <v>8</v>
      </c>
      <c r="S138" s="192">
        <v>8</v>
      </c>
      <c r="T138" s="192">
        <v>8</v>
      </c>
      <c r="U138" s="192">
        <f t="shared" si="44"/>
        <v>0</v>
      </c>
      <c r="V138" s="192">
        <v>8</v>
      </c>
      <c r="W138" s="192">
        <f t="shared" si="45"/>
        <v>0</v>
      </c>
      <c r="X138" s="194">
        <f t="shared" si="46"/>
        <v>0</v>
      </c>
      <c r="Y138" s="194">
        <f t="shared" si="47"/>
        <v>0</v>
      </c>
      <c r="Z138" s="194">
        <f t="shared" si="48"/>
        <v>0</v>
      </c>
      <c r="AA138" s="194">
        <f t="shared" si="49"/>
        <v>0</v>
      </c>
      <c r="AB138" s="194">
        <f t="shared" si="50"/>
        <v>0</v>
      </c>
      <c r="AC138" s="194">
        <f t="shared" si="51"/>
        <v>0</v>
      </c>
      <c r="AD138" s="194">
        <f t="shared" si="52"/>
        <v>0</v>
      </c>
      <c r="AE138" s="194">
        <f t="shared" si="53"/>
        <v>0</v>
      </c>
      <c r="AF138" s="194">
        <v>0</v>
      </c>
      <c r="AG138" s="194">
        <v>0</v>
      </c>
      <c r="AH138" s="194">
        <v>0</v>
      </c>
      <c r="AI138" s="194">
        <v>0</v>
      </c>
      <c r="AJ138" s="194">
        <v>0</v>
      </c>
      <c r="AK138" s="194">
        <f t="shared" si="54"/>
        <v>0</v>
      </c>
    </row>
    <row r="139" spans="1:37" ht="15" customHeight="1" x14ac:dyDescent="0.25">
      <c r="A139" s="192" t="s">
        <v>1261</v>
      </c>
      <c r="B139" s="192" t="s">
        <v>1262</v>
      </c>
      <c r="C139" s="192" t="s">
        <v>1263</v>
      </c>
      <c r="D139" s="192" t="s">
        <v>997</v>
      </c>
      <c r="E139" s="192" t="s">
        <v>998</v>
      </c>
      <c r="F139" s="192" t="s">
        <v>1264</v>
      </c>
      <c r="G139" s="193">
        <v>46203</v>
      </c>
      <c r="H139" s="192" t="s">
        <v>1000</v>
      </c>
      <c r="I139" s="192" t="s">
        <v>1265</v>
      </c>
      <c r="J139" s="192" t="s">
        <v>1266</v>
      </c>
      <c r="K139" s="192" t="s">
        <v>13</v>
      </c>
      <c r="L139" s="192">
        <v>1</v>
      </c>
      <c r="M139" s="193">
        <v>46216</v>
      </c>
      <c r="N139" s="192">
        <v>1</v>
      </c>
      <c r="O139" s="192">
        <v>1</v>
      </c>
      <c r="P139" s="192">
        <v>1</v>
      </c>
      <c r="Q139" s="192">
        <v>1</v>
      </c>
      <c r="R139" s="192">
        <v>1</v>
      </c>
      <c r="S139" s="192">
        <v>1</v>
      </c>
      <c r="T139" s="192">
        <v>1</v>
      </c>
      <c r="U139" s="192">
        <f t="shared" si="44"/>
        <v>0</v>
      </c>
      <c r="V139" s="192">
        <v>1</v>
      </c>
      <c r="W139" s="192">
        <f t="shared" si="45"/>
        <v>0</v>
      </c>
      <c r="X139" s="194">
        <f t="shared" si="46"/>
        <v>0</v>
      </c>
      <c r="Y139" s="194">
        <f t="shared" si="47"/>
        <v>0</v>
      </c>
      <c r="Z139" s="194">
        <f t="shared" si="48"/>
        <v>0</v>
      </c>
      <c r="AA139" s="194">
        <f t="shared" si="49"/>
        <v>0</v>
      </c>
      <c r="AB139" s="194">
        <f t="shared" si="50"/>
        <v>0</v>
      </c>
      <c r="AC139" s="194">
        <f t="shared" si="51"/>
        <v>0</v>
      </c>
      <c r="AD139" s="194">
        <f t="shared" si="52"/>
        <v>0</v>
      </c>
      <c r="AE139" s="194">
        <f t="shared" si="53"/>
        <v>0</v>
      </c>
      <c r="AF139" s="194">
        <v>0</v>
      </c>
      <c r="AG139" s="194">
        <v>0</v>
      </c>
      <c r="AH139" s="194">
        <v>0</v>
      </c>
      <c r="AI139" s="194">
        <v>0</v>
      </c>
      <c r="AJ139" s="194">
        <v>0</v>
      </c>
      <c r="AK139" s="194">
        <f t="shared" si="54"/>
        <v>0</v>
      </c>
    </row>
    <row r="140" spans="1:37" ht="15" customHeight="1" x14ac:dyDescent="0.25">
      <c r="A140" s="192" t="s">
        <v>1261</v>
      </c>
      <c r="B140" s="192" t="s">
        <v>1262</v>
      </c>
      <c r="C140" s="192" t="s">
        <v>1263</v>
      </c>
      <c r="D140" s="192" t="s">
        <v>997</v>
      </c>
      <c r="E140" s="192" t="s">
        <v>998</v>
      </c>
      <c r="F140" s="192" t="s">
        <v>1264</v>
      </c>
      <c r="G140" s="193">
        <v>46203</v>
      </c>
      <c r="H140" s="192" t="s">
        <v>1000</v>
      </c>
      <c r="I140" s="192" t="s">
        <v>1267</v>
      </c>
      <c r="J140" s="192" t="s">
        <v>1268</v>
      </c>
      <c r="K140" s="192" t="s">
        <v>13</v>
      </c>
      <c r="L140" s="192">
        <v>1</v>
      </c>
      <c r="M140" s="193">
        <v>46216</v>
      </c>
      <c r="N140" s="192">
        <v>1</v>
      </c>
      <c r="O140" s="192">
        <v>1</v>
      </c>
      <c r="P140" s="192">
        <v>1</v>
      </c>
      <c r="Q140" s="192">
        <v>1</v>
      </c>
      <c r="R140" s="192">
        <v>1</v>
      </c>
      <c r="S140" s="192">
        <v>1</v>
      </c>
      <c r="T140" s="192">
        <v>1</v>
      </c>
      <c r="U140" s="192">
        <f t="shared" si="44"/>
        <v>0</v>
      </c>
      <c r="V140" s="192">
        <v>1</v>
      </c>
      <c r="W140" s="192">
        <f t="shared" si="45"/>
        <v>0</v>
      </c>
      <c r="X140" s="194">
        <f t="shared" si="46"/>
        <v>0</v>
      </c>
      <c r="Y140" s="194">
        <f t="shared" si="47"/>
        <v>0</v>
      </c>
      <c r="Z140" s="194">
        <f t="shared" si="48"/>
        <v>0</v>
      </c>
      <c r="AA140" s="194">
        <f t="shared" si="49"/>
        <v>0</v>
      </c>
      <c r="AB140" s="194">
        <f t="shared" si="50"/>
        <v>0</v>
      </c>
      <c r="AC140" s="194">
        <f t="shared" si="51"/>
        <v>0</v>
      </c>
      <c r="AD140" s="194">
        <f t="shared" si="52"/>
        <v>0</v>
      </c>
      <c r="AE140" s="194">
        <f t="shared" si="53"/>
        <v>0</v>
      </c>
      <c r="AF140" s="194">
        <v>0</v>
      </c>
      <c r="AG140" s="194">
        <v>0</v>
      </c>
      <c r="AH140" s="194">
        <v>0</v>
      </c>
      <c r="AI140" s="194">
        <v>0</v>
      </c>
      <c r="AJ140" s="194">
        <v>0</v>
      </c>
      <c r="AK140" s="194">
        <f t="shared" si="54"/>
        <v>0</v>
      </c>
    </row>
    <row r="141" spans="1:37" ht="15" customHeight="1" x14ac:dyDescent="0.25">
      <c r="A141" s="192" t="s">
        <v>1261</v>
      </c>
      <c r="B141" s="192" t="s">
        <v>1262</v>
      </c>
      <c r="C141" s="192" t="s">
        <v>1263</v>
      </c>
      <c r="D141" s="192" t="s">
        <v>997</v>
      </c>
      <c r="E141" s="192" t="s">
        <v>998</v>
      </c>
      <c r="F141" s="192" t="s">
        <v>1264</v>
      </c>
      <c r="G141" s="193">
        <v>46203</v>
      </c>
      <c r="H141" s="192" t="s">
        <v>1000</v>
      </c>
      <c r="I141" s="192" t="s">
        <v>1005</v>
      </c>
      <c r="J141" s="192" t="s">
        <v>1006</v>
      </c>
      <c r="K141" s="192" t="s">
        <v>13</v>
      </c>
      <c r="L141" s="192">
        <v>1</v>
      </c>
      <c r="M141" s="193">
        <v>46216</v>
      </c>
      <c r="N141" s="192">
        <v>1</v>
      </c>
      <c r="O141" s="192">
        <v>1</v>
      </c>
      <c r="P141" s="192">
        <v>1</v>
      </c>
      <c r="Q141" s="192">
        <v>1</v>
      </c>
      <c r="R141" s="192">
        <v>1</v>
      </c>
      <c r="S141" s="192">
        <v>1</v>
      </c>
      <c r="T141" s="192">
        <v>1</v>
      </c>
      <c r="U141" s="192">
        <f t="shared" si="44"/>
        <v>0</v>
      </c>
      <c r="V141" s="192">
        <v>1</v>
      </c>
      <c r="W141" s="192">
        <f t="shared" si="45"/>
        <v>0</v>
      </c>
      <c r="X141" s="194">
        <f t="shared" si="46"/>
        <v>0</v>
      </c>
      <c r="Y141" s="194">
        <f t="shared" si="47"/>
        <v>0</v>
      </c>
      <c r="Z141" s="194">
        <f t="shared" si="48"/>
        <v>0</v>
      </c>
      <c r="AA141" s="194">
        <f t="shared" si="49"/>
        <v>0</v>
      </c>
      <c r="AB141" s="194">
        <f t="shared" si="50"/>
        <v>0</v>
      </c>
      <c r="AC141" s="194">
        <f t="shared" si="51"/>
        <v>0</v>
      </c>
      <c r="AD141" s="194">
        <f t="shared" si="52"/>
        <v>0</v>
      </c>
      <c r="AE141" s="194">
        <f t="shared" si="53"/>
        <v>0</v>
      </c>
      <c r="AF141" s="194">
        <v>0</v>
      </c>
      <c r="AG141" s="194">
        <v>0</v>
      </c>
      <c r="AH141" s="194">
        <v>0</v>
      </c>
      <c r="AI141" s="194">
        <v>0</v>
      </c>
      <c r="AJ141" s="194">
        <v>0</v>
      </c>
      <c r="AK141" s="194">
        <f t="shared" si="54"/>
        <v>0</v>
      </c>
    </row>
    <row r="142" spans="1:37" ht="15" customHeight="1" x14ac:dyDescent="0.25">
      <c r="A142" s="192" t="s">
        <v>1261</v>
      </c>
      <c r="B142" s="192" t="s">
        <v>1262</v>
      </c>
      <c r="C142" s="192" t="s">
        <v>1263</v>
      </c>
      <c r="D142" s="192" t="s">
        <v>997</v>
      </c>
      <c r="E142" s="192" t="s">
        <v>998</v>
      </c>
      <c r="F142" s="192" t="s">
        <v>1264</v>
      </c>
      <c r="G142" s="193">
        <v>46203</v>
      </c>
      <c r="H142" s="192" t="s">
        <v>1000</v>
      </c>
      <c r="I142" s="192" t="s">
        <v>1148</v>
      </c>
      <c r="J142" s="192" t="s">
        <v>1149</v>
      </c>
      <c r="K142" s="192" t="s">
        <v>13</v>
      </c>
      <c r="L142" s="192">
        <v>1</v>
      </c>
      <c r="M142" s="193">
        <v>46216</v>
      </c>
      <c r="N142" s="192">
        <v>1</v>
      </c>
      <c r="O142" s="192">
        <v>1</v>
      </c>
      <c r="P142" s="192">
        <v>1</v>
      </c>
      <c r="Q142" s="192">
        <v>1</v>
      </c>
      <c r="R142" s="192">
        <v>1</v>
      </c>
      <c r="S142" s="192">
        <v>1</v>
      </c>
      <c r="T142" s="192">
        <v>1</v>
      </c>
      <c r="U142" s="192">
        <f t="shared" si="44"/>
        <v>0</v>
      </c>
      <c r="V142" s="192">
        <v>1</v>
      </c>
      <c r="W142" s="192">
        <f t="shared" si="45"/>
        <v>0</v>
      </c>
      <c r="X142" s="194">
        <f t="shared" si="46"/>
        <v>0</v>
      </c>
      <c r="Y142" s="194">
        <f t="shared" si="47"/>
        <v>0</v>
      </c>
      <c r="Z142" s="194">
        <f t="shared" si="48"/>
        <v>0</v>
      </c>
      <c r="AA142" s="194">
        <f t="shared" si="49"/>
        <v>0</v>
      </c>
      <c r="AB142" s="194">
        <f t="shared" si="50"/>
        <v>0</v>
      </c>
      <c r="AC142" s="194">
        <f t="shared" si="51"/>
        <v>0</v>
      </c>
      <c r="AD142" s="194">
        <f t="shared" si="52"/>
        <v>0</v>
      </c>
      <c r="AE142" s="194">
        <f t="shared" si="53"/>
        <v>0</v>
      </c>
      <c r="AF142" s="194">
        <v>0</v>
      </c>
      <c r="AG142" s="194">
        <v>0</v>
      </c>
      <c r="AH142" s="194">
        <v>0</v>
      </c>
      <c r="AI142" s="194">
        <v>0</v>
      </c>
      <c r="AJ142" s="194">
        <v>0</v>
      </c>
      <c r="AK142" s="194">
        <f t="shared" si="54"/>
        <v>0</v>
      </c>
    </row>
    <row r="143" spans="1:37" ht="15" customHeight="1" x14ac:dyDescent="0.25">
      <c r="A143" s="192" t="s">
        <v>1269</v>
      </c>
      <c r="B143" s="192" t="s">
        <v>640</v>
      </c>
      <c r="C143" s="192" t="s">
        <v>1192</v>
      </c>
      <c r="D143" s="192" t="s">
        <v>997</v>
      </c>
      <c r="E143" s="192" t="s">
        <v>998</v>
      </c>
      <c r="F143" s="192" t="s">
        <v>1270</v>
      </c>
      <c r="G143" s="193">
        <v>46206</v>
      </c>
      <c r="H143" s="192" t="s">
        <v>1000</v>
      </c>
      <c r="I143" s="192" t="s">
        <v>1271</v>
      </c>
      <c r="J143" s="192" t="s">
        <v>1272</v>
      </c>
      <c r="K143" s="192" t="s">
        <v>13</v>
      </c>
      <c r="L143" s="192">
        <v>46</v>
      </c>
      <c r="M143" s="193">
        <v>46254</v>
      </c>
      <c r="N143" s="192">
        <v>46</v>
      </c>
      <c r="O143" s="192">
        <v>46</v>
      </c>
      <c r="P143" s="192">
        <v>46</v>
      </c>
      <c r="Q143" s="192">
        <v>46</v>
      </c>
      <c r="R143" s="192">
        <v>46</v>
      </c>
      <c r="S143" s="192">
        <v>46</v>
      </c>
      <c r="T143" s="192">
        <v>46</v>
      </c>
      <c r="U143" s="192">
        <f t="shared" si="44"/>
        <v>0</v>
      </c>
      <c r="V143" s="192">
        <v>46</v>
      </c>
      <c r="W143" s="192">
        <f t="shared" si="45"/>
        <v>0</v>
      </c>
      <c r="X143" s="194">
        <f t="shared" si="46"/>
        <v>0</v>
      </c>
      <c r="Y143" s="194">
        <f t="shared" si="47"/>
        <v>0</v>
      </c>
      <c r="Z143" s="194">
        <f t="shared" si="48"/>
        <v>0</v>
      </c>
      <c r="AA143" s="194">
        <f t="shared" si="49"/>
        <v>0</v>
      </c>
      <c r="AB143" s="194">
        <f t="shared" si="50"/>
        <v>0</v>
      </c>
      <c r="AC143" s="194">
        <f t="shared" si="51"/>
        <v>0</v>
      </c>
      <c r="AD143" s="194">
        <f t="shared" si="52"/>
        <v>0</v>
      </c>
      <c r="AE143" s="194">
        <f t="shared" si="53"/>
        <v>0</v>
      </c>
      <c r="AF143" s="194">
        <v>0</v>
      </c>
      <c r="AG143" s="194">
        <v>0</v>
      </c>
      <c r="AH143" s="194">
        <v>0</v>
      </c>
      <c r="AI143" s="194">
        <v>0</v>
      </c>
      <c r="AJ143" s="194">
        <v>0</v>
      </c>
      <c r="AK143" s="194">
        <f t="shared" si="54"/>
        <v>0</v>
      </c>
    </row>
    <row r="144" spans="1:37" ht="15" customHeight="1" x14ac:dyDescent="0.25">
      <c r="A144" s="192" t="s">
        <v>1269</v>
      </c>
      <c r="B144" s="192" t="s">
        <v>640</v>
      </c>
      <c r="C144" s="192" t="s">
        <v>1192</v>
      </c>
      <c r="D144" s="192" t="s">
        <v>997</v>
      </c>
      <c r="E144" s="192" t="s">
        <v>998</v>
      </c>
      <c r="F144" s="192" t="s">
        <v>1270</v>
      </c>
      <c r="G144" s="193">
        <v>46206</v>
      </c>
      <c r="H144" s="192" t="s">
        <v>1000</v>
      </c>
      <c r="I144" s="192" t="s">
        <v>1273</v>
      </c>
      <c r="J144" s="192" t="s">
        <v>1274</v>
      </c>
      <c r="K144" s="192" t="s">
        <v>13</v>
      </c>
      <c r="L144" s="192">
        <v>60</v>
      </c>
      <c r="M144" s="193">
        <v>46254</v>
      </c>
      <c r="N144" s="192">
        <v>60</v>
      </c>
      <c r="O144" s="192">
        <v>60</v>
      </c>
      <c r="P144" s="192">
        <v>60</v>
      </c>
      <c r="Q144" s="192">
        <v>60</v>
      </c>
      <c r="R144" s="192">
        <v>60</v>
      </c>
      <c r="S144" s="192">
        <v>60</v>
      </c>
      <c r="T144" s="192">
        <v>60</v>
      </c>
      <c r="U144" s="192">
        <f t="shared" si="44"/>
        <v>0</v>
      </c>
      <c r="V144" s="192">
        <v>60</v>
      </c>
      <c r="W144" s="192">
        <f t="shared" si="45"/>
        <v>0</v>
      </c>
      <c r="X144" s="194">
        <f t="shared" si="46"/>
        <v>0</v>
      </c>
      <c r="Y144" s="194">
        <f t="shared" si="47"/>
        <v>0</v>
      </c>
      <c r="Z144" s="194">
        <f t="shared" si="48"/>
        <v>0</v>
      </c>
      <c r="AA144" s="194">
        <f t="shared" si="49"/>
        <v>0</v>
      </c>
      <c r="AB144" s="194">
        <f t="shared" si="50"/>
        <v>0</v>
      </c>
      <c r="AC144" s="194">
        <f t="shared" si="51"/>
        <v>0</v>
      </c>
      <c r="AD144" s="194">
        <f t="shared" si="52"/>
        <v>0</v>
      </c>
      <c r="AE144" s="194">
        <f t="shared" si="53"/>
        <v>0</v>
      </c>
      <c r="AF144" s="194">
        <v>0</v>
      </c>
      <c r="AG144" s="194">
        <v>0</v>
      </c>
      <c r="AH144" s="194">
        <v>0</v>
      </c>
      <c r="AI144" s="194">
        <v>0</v>
      </c>
      <c r="AJ144" s="194">
        <v>0</v>
      </c>
      <c r="AK144" s="194">
        <f t="shared" si="54"/>
        <v>0</v>
      </c>
    </row>
    <row r="145" spans="1:37" ht="15" customHeight="1" x14ac:dyDescent="0.25">
      <c r="A145" s="192" t="s">
        <v>1269</v>
      </c>
      <c r="B145" s="192" t="s">
        <v>640</v>
      </c>
      <c r="C145" s="192" t="s">
        <v>1192</v>
      </c>
      <c r="D145" s="192" t="s">
        <v>997</v>
      </c>
      <c r="E145" s="192" t="s">
        <v>998</v>
      </c>
      <c r="F145" s="192" t="s">
        <v>1270</v>
      </c>
      <c r="G145" s="193">
        <v>46206</v>
      </c>
      <c r="H145" s="192" t="s">
        <v>1000</v>
      </c>
      <c r="I145" s="192" t="s">
        <v>1275</v>
      </c>
      <c r="J145" s="192" t="s">
        <v>1276</v>
      </c>
      <c r="K145" s="192" t="s">
        <v>13</v>
      </c>
      <c r="L145" s="192">
        <v>16</v>
      </c>
      <c r="M145" s="193">
        <v>46254</v>
      </c>
      <c r="N145" s="192">
        <v>16</v>
      </c>
      <c r="O145" s="192">
        <v>16</v>
      </c>
      <c r="P145" s="192">
        <v>16</v>
      </c>
      <c r="Q145" s="192">
        <v>16</v>
      </c>
      <c r="R145" s="192">
        <v>16</v>
      </c>
      <c r="S145" s="192">
        <v>16</v>
      </c>
      <c r="T145" s="192">
        <v>16</v>
      </c>
      <c r="U145" s="196">
        <f t="shared" si="44"/>
        <v>0</v>
      </c>
      <c r="V145" s="196">
        <v>16</v>
      </c>
      <c r="W145" s="192">
        <f t="shared" si="45"/>
        <v>0</v>
      </c>
      <c r="X145" s="194">
        <f t="shared" si="46"/>
        <v>0</v>
      </c>
      <c r="Y145" s="194">
        <f t="shared" si="47"/>
        <v>0</v>
      </c>
      <c r="Z145" s="194">
        <f t="shared" si="48"/>
        <v>0</v>
      </c>
      <c r="AA145" s="194">
        <f t="shared" si="49"/>
        <v>0</v>
      </c>
      <c r="AB145" s="194">
        <f t="shared" si="50"/>
        <v>0</v>
      </c>
      <c r="AC145" s="194">
        <f t="shared" si="51"/>
        <v>0</v>
      </c>
      <c r="AD145" s="194">
        <f t="shared" si="52"/>
        <v>0</v>
      </c>
      <c r="AE145" s="194">
        <f t="shared" si="53"/>
        <v>0</v>
      </c>
      <c r="AF145" s="194">
        <v>0</v>
      </c>
      <c r="AG145" s="194">
        <v>0</v>
      </c>
      <c r="AH145" s="194">
        <v>0</v>
      </c>
      <c r="AI145" s="194">
        <v>0</v>
      </c>
      <c r="AJ145" s="194">
        <v>0</v>
      </c>
      <c r="AK145" s="194">
        <f t="shared" si="54"/>
        <v>0</v>
      </c>
    </row>
    <row r="146" spans="1:37" ht="15" customHeight="1" x14ac:dyDescent="0.25">
      <c r="A146" s="192" t="s">
        <v>1277</v>
      </c>
      <c r="B146" s="192" t="s">
        <v>636</v>
      </c>
      <c r="C146" s="192" t="s">
        <v>692</v>
      </c>
      <c r="D146" s="192" t="s">
        <v>1160</v>
      </c>
      <c r="E146" s="192" t="s">
        <v>998</v>
      </c>
      <c r="F146" s="192" t="s">
        <v>1278</v>
      </c>
      <c r="G146" s="193">
        <v>46209</v>
      </c>
      <c r="H146" s="192" t="s">
        <v>1000</v>
      </c>
      <c r="I146" s="192" t="s">
        <v>1013</v>
      </c>
      <c r="J146" s="192" t="s">
        <v>1014</v>
      </c>
      <c r="K146" s="192" t="s">
        <v>13</v>
      </c>
      <c r="L146" s="192">
        <v>24</v>
      </c>
      <c r="M146" s="193">
        <v>46237</v>
      </c>
      <c r="N146" s="192">
        <v>24</v>
      </c>
      <c r="O146" s="192">
        <v>24</v>
      </c>
      <c r="P146" s="192">
        <v>24</v>
      </c>
      <c r="Q146" s="192">
        <v>24</v>
      </c>
      <c r="R146" s="192">
        <v>24</v>
      </c>
      <c r="S146" s="192">
        <v>24</v>
      </c>
      <c r="T146" s="192">
        <v>24</v>
      </c>
      <c r="U146" s="192">
        <f t="shared" si="44"/>
        <v>0</v>
      </c>
      <c r="V146" s="192">
        <v>24</v>
      </c>
      <c r="W146" s="192">
        <f t="shared" si="45"/>
        <v>0</v>
      </c>
      <c r="X146" s="194">
        <f t="shared" si="46"/>
        <v>0</v>
      </c>
      <c r="Y146" s="194">
        <f t="shared" si="47"/>
        <v>0</v>
      </c>
      <c r="Z146" s="194">
        <f t="shared" si="48"/>
        <v>0</v>
      </c>
      <c r="AA146" s="194">
        <f t="shared" si="49"/>
        <v>0</v>
      </c>
      <c r="AB146" s="194">
        <f t="shared" si="50"/>
        <v>0</v>
      </c>
      <c r="AC146" s="194">
        <f t="shared" si="51"/>
        <v>0</v>
      </c>
      <c r="AD146" s="194">
        <f t="shared" si="52"/>
        <v>0</v>
      </c>
      <c r="AE146" s="194">
        <f t="shared" si="53"/>
        <v>0</v>
      </c>
      <c r="AF146" s="194">
        <v>0</v>
      </c>
      <c r="AG146" s="194">
        <v>0</v>
      </c>
      <c r="AH146" s="194">
        <v>0</v>
      </c>
      <c r="AI146" s="194">
        <v>0</v>
      </c>
      <c r="AJ146" s="194">
        <v>0</v>
      </c>
      <c r="AK146" s="194">
        <f t="shared" si="54"/>
        <v>0</v>
      </c>
    </row>
    <row r="147" spans="1:37" ht="15" customHeight="1" x14ac:dyDescent="0.25">
      <c r="A147" s="192" t="s">
        <v>1279</v>
      </c>
      <c r="B147" s="192" t="s">
        <v>652</v>
      </c>
      <c r="C147" s="192" t="s">
        <v>692</v>
      </c>
      <c r="D147" s="192" t="s">
        <v>1160</v>
      </c>
      <c r="E147" s="192" t="s">
        <v>998</v>
      </c>
      <c r="F147" s="192" t="s">
        <v>1280</v>
      </c>
      <c r="G147" s="193">
        <v>46239</v>
      </c>
      <c r="H147" s="192" t="s">
        <v>1000</v>
      </c>
      <c r="I147" s="192" t="s">
        <v>1028</v>
      </c>
      <c r="J147" s="192" t="s">
        <v>1029</v>
      </c>
      <c r="K147" s="192" t="s">
        <v>15</v>
      </c>
      <c r="L147" s="192">
        <v>14</v>
      </c>
      <c r="M147" s="193">
        <v>46270</v>
      </c>
      <c r="N147" s="192">
        <v>14</v>
      </c>
      <c r="O147" s="192">
        <v>14</v>
      </c>
      <c r="P147" s="192">
        <v>14</v>
      </c>
      <c r="Q147" s="192">
        <v>14</v>
      </c>
      <c r="R147" s="192">
        <v>14</v>
      </c>
      <c r="S147" s="192">
        <v>14</v>
      </c>
      <c r="T147" s="192">
        <v>14</v>
      </c>
      <c r="U147" s="196">
        <f t="shared" si="44"/>
        <v>0</v>
      </c>
      <c r="V147" s="196">
        <v>14</v>
      </c>
      <c r="W147" s="192">
        <f t="shared" si="45"/>
        <v>0</v>
      </c>
      <c r="X147" s="194">
        <f t="shared" si="46"/>
        <v>0</v>
      </c>
      <c r="Y147" s="194">
        <f t="shared" si="47"/>
        <v>0</v>
      </c>
      <c r="Z147" s="194">
        <f t="shared" si="48"/>
        <v>0</v>
      </c>
      <c r="AA147" s="194">
        <f t="shared" si="49"/>
        <v>0</v>
      </c>
      <c r="AB147" s="194">
        <f t="shared" si="50"/>
        <v>0</v>
      </c>
      <c r="AC147" s="194">
        <f t="shared" si="51"/>
        <v>0</v>
      </c>
      <c r="AD147" s="194">
        <f t="shared" si="52"/>
        <v>0</v>
      </c>
      <c r="AE147" s="194">
        <f t="shared" si="53"/>
        <v>0</v>
      </c>
      <c r="AF147" s="194">
        <v>0</v>
      </c>
      <c r="AG147" s="194">
        <v>0</v>
      </c>
      <c r="AH147" s="194">
        <v>0</v>
      </c>
      <c r="AI147" s="194">
        <v>0</v>
      </c>
      <c r="AJ147" s="194">
        <v>0</v>
      </c>
      <c r="AK147" s="194">
        <f t="shared" si="54"/>
        <v>0</v>
      </c>
    </row>
    <row r="148" spans="1:37" ht="15" customHeight="1" x14ac:dyDescent="0.25">
      <c r="A148" s="192" t="s">
        <v>1279</v>
      </c>
      <c r="B148" s="192" t="s">
        <v>652</v>
      </c>
      <c r="C148" s="192" t="s">
        <v>692</v>
      </c>
      <c r="D148" s="192" t="s">
        <v>1160</v>
      </c>
      <c r="E148" s="192" t="s">
        <v>998</v>
      </c>
      <c r="F148" s="192" t="s">
        <v>1280</v>
      </c>
      <c r="G148" s="193">
        <v>46239</v>
      </c>
      <c r="H148" s="192" t="s">
        <v>1000</v>
      </c>
      <c r="I148" s="192" t="s">
        <v>1281</v>
      </c>
      <c r="J148" s="192" t="s">
        <v>1282</v>
      </c>
      <c r="K148" s="192" t="s">
        <v>13</v>
      </c>
      <c r="L148" s="192">
        <v>6</v>
      </c>
      <c r="M148" s="193">
        <v>46270</v>
      </c>
      <c r="N148" s="192">
        <v>6</v>
      </c>
      <c r="O148" s="192">
        <v>6</v>
      </c>
      <c r="P148" s="192">
        <v>6</v>
      </c>
      <c r="Q148" s="192">
        <v>6</v>
      </c>
      <c r="R148" s="192">
        <v>6</v>
      </c>
      <c r="S148" s="192">
        <v>6</v>
      </c>
      <c r="T148" s="192">
        <v>6</v>
      </c>
      <c r="U148" s="192">
        <f t="shared" si="44"/>
        <v>0</v>
      </c>
      <c r="V148" s="192">
        <v>6</v>
      </c>
      <c r="W148" s="192">
        <f t="shared" si="45"/>
        <v>0</v>
      </c>
      <c r="X148" s="194">
        <f t="shared" si="46"/>
        <v>0</v>
      </c>
      <c r="Y148" s="194">
        <f t="shared" si="47"/>
        <v>0</v>
      </c>
      <c r="Z148" s="194">
        <f t="shared" si="48"/>
        <v>0</v>
      </c>
      <c r="AA148" s="194">
        <f t="shared" si="49"/>
        <v>0</v>
      </c>
      <c r="AB148" s="194">
        <f t="shared" si="50"/>
        <v>0</v>
      </c>
      <c r="AC148" s="194">
        <f t="shared" si="51"/>
        <v>0</v>
      </c>
      <c r="AD148" s="194">
        <f t="shared" si="52"/>
        <v>0</v>
      </c>
      <c r="AE148" s="194">
        <f t="shared" si="53"/>
        <v>0</v>
      </c>
      <c r="AF148" s="194">
        <v>0</v>
      </c>
      <c r="AG148" s="194">
        <v>0</v>
      </c>
      <c r="AH148" s="194">
        <v>0</v>
      </c>
      <c r="AI148" s="194">
        <v>0</v>
      </c>
      <c r="AJ148" s="194">
        <v>0</v>
      </c>
      <c r="AK148" s="194">
        <f t="shared" si="54"/>
        <v>0</v>
      </c>
    </row>
    <row r="149" spans="1:37" ht="15" customHeight="1" x14ac:dyDescent="0.25">
      <c r="A149" s="192" t="s">
        <v>1283</v>
      </c>
      <c r="B149" s="192" t="s">
        <v>656</v>
      </c>
      <c r="C149" s="192" t="s">
        <v>1284</v>
      </c>
      <c r="D149" s="192" t="s">
        <v>997</v>
      </c>
      <c r="E149" s="192" t="s">
        <v>998</v>
      </c>
      <c r="F149" s="192" t="s">
        <v>1285</v>
      </c>
      <c r="G149" s="193">
        <v>46239</v>
      </c>
      <c r="H149" s="192" t="s">
        <v>1000</v>
      </c>
      <c r="I149" s="192" t="s">
        <v>1065</v>
      </c>
      <c r="J149" s="192" t="s">
        <v>1256</v>
      </c>
      <c r="K149" s="192" t="s">
        <v>13</v>
      </c>
      <c r="L149" s="192">
        <v>65</v>
      </c>
      <c r="M149" s="193">
        <v>46285</v>
      </c>
      <c r="N149" s="192">
        <v>65</v>
      </c>
      <c r="O149" s="192">
        <v>65</v>
      </c>
      <c r="P149" s="192">
        <v>65</v>
      </c>
      <c r="Q149" s="192">
        <v>65</v>
      </c>
      <c r="R149" s="192">
        <v>65</v>
      </c>
      <c r="S149" s="192">
        <v>65</v>
      </c>
      <c r="T149" s="192">
        <v>65</v>
      </c>
      <c r="U149" s="192">
        <f t="shared" si="44"/>
        <v>0</v>
      </c>
      <c r="V149" s="192">
        <v>65</v>
      </c>
      <c r="W149" s="192">
        <f t="shared" si="45"/>
        <v>0</v>
      </c>
      <c r="X149" s="194">
        <f t="shared" si="46"/>
        <v>0</v>
      </c>
      <c r="Y149" s="194">
        <f t="shared" si="47"/>
        <v>0</v>
      </c>
      <c r="Z149" s="194">
        <f t="shared" si="48"/>
        <v>0</v>
      </c>
      <c r="AA149" s="194">
        <f t="shared" si="49"/>
        <v>0</v>
      </c>
      <c r="AB149" s="194">
        <f t="shared" si="50"/>
        <v>0</v>
      </c>
      <c r="AC149" s="194">
        <f t="shared" si="51"/>
        <v>0</v>
      </c>
      <c r="AD149" s="194">
        <f t="shared" si="52"/>
        <v>0</v>
      </c>
      <c r="AE149" s="194">
        <f t="shared" si="53"/>
        <v>0</v>
      </c>
      <c r="AF149" s="194">
        <v>0</v>
      </c>
      <c r="AG149" s="194">
        <v>0</v>
      </c>
      <c r="AH149" s="194">
        <v>0</v>
      </c>
      <c r="AI149" s="194">
        <v>0</v>
      </c>
      <c r="AJ149" s="194">
        <v>0</v>
      </c>
      <c r="AK149" s="194">
        <f t="shared" si="54"/>
        <v>0</v>
      </c>
    </row>
    <row r="150" spans="1:37" ht="15" customHeight="1" x14ac:dyDescent="0.25">
      <c r="A150" s="192" t="s">
        <v>1283</v>
      </c>
      <c r="B150" s="192" t="s">
        <v>656</v>
      </c>
      <c r="C150" s="192" t="s">
        <v>1284</v>
      </c>
      <c r="D150" s="192" t="s">
        <v>997</v>
      </c>
      <c r="E150" s="192" t="s">
        <v>998</v>
      </c>
      <c r="F150" s="192" t="s">
        <v>1285</v>
      </c>
      <c r="G150" s="193">
        <v>46239</v>
      </c>
      <c r="H150" s="192" t="s">
        <v>1000</v>
      </c>
      <c r="I150" s="192" t="s">
        <v>1123</v>
      </c>
      <c r="J150" s="192" t="s">
        <v>1124</v>
      </c>
      <c r="K150" s="192" t="s">
        <v>13</v>
      </c>
      <c r="L150" s="192">
        <v>60</v>
      </c>
      <c r="M150" s="193">
        <v>46285</v>
      </c>
      <c r="N150" s="192">
        <v>60</v>
      </c>
      <c r="O150" s="192">
        <v>60</v>
      </c>
      <c r="P150" s="192">
        <v>60</v>
      </c>
      <c r="Q150" s="192">
        <v>60</v>
      </c>
      <c r="R150" s="192">
        <v>60</v>
      </c>
      <c r="S150" s="192">
        <v>60</v>
      </c>
      <c r="T150" s="192">
        <v>60</v>
      </c>
      <c r="U150" s="192">
        <f t="shared" si="44"/>
        <v>0</v>
      </c>
      <c r="V150" s="192">
        <v>60</v>
      </c>
      <c r="W150" s="192">
        <f t="shared" si="45"/>
        <v>0</v>
      </c>
      <c r="X150" s="194">
        <f t="shared" si="46"/>
        <v>0</v>
      </c>
      <c r="Y150" s="194">
        <f t="shared" si="47"/>
        <v>0</v>
      </c>
      <c r="Z150" s="194">
        <f t="shared" si="48"/>
        <v>0</v>
      </c>
      <c r="AA150" s="194">
        <f t="shared" si="49"/>
        <v>0</v>
      </c>
      <c r="AB150" s="194">
        <f t="shared" si="50"/>
        <v>0</v>
      </c>
      <c r="AC150" s="194">
        <f t="shared" si="51"/>
        <v>0</v>
      </c>
      <c r="AD150" s="194">
        <f t="shared" si="52"/>
        <v>0</v>
      </c>
      <c r="AE150" s="194">
        <f t="shared" si="53"/>
        <v>0</v>
      </c>
      <c r="AF150" s="194">
        <v>0</v>
      </c>
      <c r="AG150" s="194">
        <v>0</v>
      </c>
      <c r="AH150" s="194">
        <v>0</v>
      </c>
      <c r="AI150" s="194">
        <v>0</v>
      </c>
      <c r="AJ150" s="194">
        <v>0</v>
      </c>
      <c r="AK150" s="194">
        <f t="shared" si="54"/>
        <v>0</v>
      </c>
    </row>
    <row r="151" spans="1:37" ht="15" customHeight="1" x14ac:dyDescent="0.25">
      <c r="A151" s="192" t="s">
        <v>1283</v>
      </c>
      <c r="B151" s="192" t="s">
        <v>656</v>
      </c>
      <c r="C151" s="192" t="s">
        <v>1284</v>
      </c>
      <c r="D151" s="192" t="s">
        <v>997</v>
      </c>
      <c r="E151" s="192" t="s">
        <v>998</v>
      </c>
      <c r="F151" s="192" t="s">
        <v>1285</v>
      </c>
      <c r="G151" s="193">
        <v>46239</v>
      </c>
      <c r="H151" s="192" t="s">
        <v>1000</v>
      </c>
      <c r="I151" s="192" t="s">
        <v>1067</v>
      </c>
      <c r="J151" s="192" t="s">
        <v>1125</v>
      </c>
      <c r="K151" s="192" t="s">
        <v>13</v>
      </c>
      <c r="L151" s="192">
        <v>70</v>
      </c>
      <c r="M151" s="193">
        <v>46285</v>
      </c>
      <c r="N151" s="192">
        <v>70</v>
      </c>
      <c r="O151" s="192">
        <v>70</v>
      </c>
      <c r="P151" s="192">
        <v>70</v>
      </c>
      <c r="Q151" s="192">
        <v>70</v>
      </c>
      <c r="R151" s="192">
        <v>70</v>
      </c>
      <c r="S151" s="192">
        <v>70</v>
      </c>
      <c r="T151" s="192">
        <v>70</v>
      </c>
      <c r="U151" s="196">
        <f t="shared" si="44"/>
        <v>0</v>
      </c>
      <c r="V151" s="196">
        <v>70</v>
      </c>
      <c r="W151" s="192">
        <f t="shared" si="45"/>
        <v>0</v>
      </c>
      <c r="X151" s="194">
        <f t="shared" si="46"/>
        <v>0</v>
      </c>
      <c r="Y151" s="194">
        <f t="shared" si="47"/>
        <v>0</v>
      </c>
      <c r="Z151" s="194">
        <f t="shared" si="48"/>
        <v>0</v>
      </c>
      <c r="AA151" s="194">
        <f t="shared" si="49"/>
        <v>0</v>
      </c>
      <c r="AB151" s="194">
        <f t="shared" si="50"/>
        <v>0</v>
      </c>
      <c r="AC151" s="194">
        <f t="shared" si="51"/>
        <v>0</v>
      </c>
      <c r="AD151" s="194">
        <f t="shared" si="52"/>
        <v>0</v>
      </c>
      <c r="AE151" s="194">
        <f t="shared" si="53"/>
        <v>0</v>
      </c>
      <c r="AF151" s="194">
        <v>0</v>
      </c>
      <c r="AG151" s="194">
        <v>0</v>
      </c>
      <c r="AH151" s="194">
        <v>0</v>
      </c>
      <c r="AI151" s="194">
        <v>0</v>
      </c>
      <c r="AJ151" s="194">
        <v>0</v>
      </c>
      <c r="AK151" s="194">
        <f t="shared" si="54"/>
        <v>0</v>
      </c>
    </row>
    <row r="152" spans="1:37" ht="15" customHeight="1" x14ac:dyDescent="0.25">
      <c r="A152" s="192" t="s">
        <v>1283</v>
      </c>
      <c r="B152" s="192" t="s">
        <v>656</v>
      </c>
      <c r="C152" s="192" t="s">
        <v>1284</v>
      </c>
      <c r="D152" s="192" t="s">
        <v>997</v>
      </c>
      <c r="E152" s="192" t="s">
        <v>998</v>
      </c>
      <c r="F152" s="192" t="s">
        <v>1285</v>
      </c>
      <c r="G152" s="193">
        <v>46239</v>
      </c>
      <c r="H152" s="192" t="s">
        <v>1000</v>
      </c>
      <c r="I152" s="192" t="s">
        <v>1055</v>
      </c>
      <c r="J152" s="192" t="s">
        <v>1056</v>
      </c>
      <c r="K152" s="192" t="s">
        <v>13</v>
      </c>
      <c r="L152" s="192">
        <v>60</v>
      </c>
      <c r="M152" s="193">
        <v>46285</v>
      </c>
      <c r="N152" s="192">
        <v>60</v>
      </c>
      <c r="O152" s="192">
        <v>60</v>
      </c>
      <c r="P152" s="192">
        <v>60</v>
      </c>
      <c r="Q152" s="192">
        <v>60</v>
      </c>
      <c r="R152" s="192">
        <v>60</v>
      </c>
      <c r="S152" s="192">
        <v>60</v>
      </c>
      <c r="T152" s="192">
        <v>60</v>
      </c>
      <c r="U152" s="192">
        <f t="shared" si="44"/>
        <v>0</v>
      </c>
      <c r="V152" s="192">
        <v>60</v>
      </c>
      <c r="W152" s="192">
        <f t="shared" si="45"/>
        <v>0</v>
      </c>
      <c r="X152" s="194">
        <f t="shared" si="46"/>
        <v>0</v>
      </c>
      <c r="Y152" s="194">
        <f t="shared" si="47"/>
        <v>0</v>
      </c>
      <c r="Z152" s="194">
        <f t="shared" si="48"/>
        <v>0</v>
      </c>
      <c r="AA152" s="194">
        <f t="shared" si="49"/>
        <v>0</v>
      </c>
      <c r="AB152" s="194">
        <f t="shared" si="50"/>
        <v>0</v>
      </c>
      <c r="AC152" s="194">
        <f t="shared" si="51"/>
        <v>0</v>
      </c>
      <c r="AD152" s="194">
        <f t="shared" si="52"/>
        <v>0</v>
      </c>
      <c r="AE152" s="194">
        <f t="shared" si="53"/>
        <v>0</v>
      </c>
      <c r="AF152" s="194">
        <v>0</v>
      </c>
      <c r="AG152" s="194">
        <v>0</v>
      </c>
      <c r="AH152" s="194">
        <v>0</v>
      </c>
      <c r="AI152" s="194">
        <v>0</v>
      </c>
      <c r="AJ152" s="194">
        <v>0</v>
      </c>
      <c r="AK152" s="194">
        <f t="shared" si="54"/>
        <v>0</v>
      </c>
    </row>
    <row r="153" spans="1:37" ht="15" customHeight="1" x14ac:dyDescent="0.25">
      <c r="A153" s="192" t="s">
        <v>1283</v>
      </c>
      <c r="B153" s="192" t="s">
        <v>656</v>
      </c>
      <c r="C153" s="192" t="s">
        <v>1284</v>
      </c>
      <c r="D153" s="192" t="s">
        <v>997</v>
      </c>
      <c r="E153" s="192" t="s">
        <v>998</v>
      </c>
      <c r="F153" s="192" t="s">
        <v>1285</v>
      </c>
      <c r="G153" s="193">
        <v>46239</v>
      </c>
      <c r="H153" s="192" t="s">
        <v>1000</v>
      </c>
      <c r="I153" s="192" t="s">
        <v>1286</v>
      </c>
      <c r="J153" s="192" t="s">
        <v>1287</v>
      </c>
      <c r="K153" s="192" t="s">
        <v>13</v>
      </c>
      <c r="L153" s="192">
        <v>50</v>
      </c>
      <c r="M153" s="193">
        <v>46285</v>
      </c>
      <c r="N153" s="192">
        <v>50</v>
      </c>
      <c r="O153" s="192">
        <v>50</v>
      </c>
      <c r="P153" s="192">
        <v>50</v>
      </c>
      <c r="Q153" s="192">
        <v>50</v>
      </c>
      <c r="R153" s="192">
        <v>50</v>
      </c>
      <c r="S153" s="192">
        <v>50</v>
      </c>
      <c r="T153" s="192">
        <v>50</v>
      </c>
      <c r="U153" s="192">
        <f t="shared" si="44"/>
        <v>0</v>
      </c>
      <c r="V153" s="192">
        <v>50</v>
      </c>
      <c r="W153" s="192">
        <f t="shared" si="45"/>
        <v>0</v>
      </c>
      <c r="X153" s="194">
        <f t="shared" si="46"/>
        <v>0</v>
      </c>
      <c r="Y153" s="194">
        <f t="shared" si="47"/>
        <v>0</v>
      </c>
      <c r="Z153" s="194">
        <f t="shared" si="48"/>
        <v>0</v>
      </c>
      <c r="AA153" s="194">
        <f t="shared" si="49"/>
        <v>0</v>
      </c>
      <c r="AB153" s="194">
        <f t="shared" si="50"/>
        <v>0</v>
      </c>
      <c r="AC153" s="194">
        <f t="shared" si="51"/>
        <v>0</v>
      </c>
      <c r="AD153" s="194">
        <f t="shared" si="52"/>
        <v>0</v>
      </c>
      <c r="AE153" s="194">
        <f t="shared" si="53"/>
        <v>0</v>
      </c>
      <c r="AF153" s="194">
        <v>0</v>
      </c>
      <c r="AG153" s="194">
        <v>0</v>
      </c>
      <c r="AH153" s="194">
        <v>0</v>
      </c>
      <c r="AI153" s="194">
        <v>0</v>
      </c>
      <c r="AJ153" s="194">
        <v>0</v>
      </c>
      <c r="AK153" s="194">
        <f t="shared" si="54"/>
        <v>0</v>
      </c>
    </row>
    <row r="154" spans="1:37" ht="15" customHeight="1" x14ac:dyDescent="0.25">
      <c r="A154" s="192" t="s">
        <v>1288</v>
      </c>
      <c r="B154" s="192" t="s">
        <v>659</v>
      </c>
      <c r="C154" s="192" t="s">
        <v>871</v>
      </c>
      <c r="D154" s="192" t="s">
        <v>997</v>
      </c>
      <c r="E154" s="192" t="s">
        <v>998</v>
      </c>
      <c r="F154" s="192" t="s">
        <v>1289</v>
      </c>
      <c r="G154" s="193">
        <v>46239</v>
      </c>
      <c r="H154" s="192" t="s">
        <v>1000</v>
      </c>
      <c r="I154" s="192" t="s">
        <v>1005</v>
      </c>
      <c r="J154" s="192" t="s">
        <v>1006</v>
      </c>
      <c r="K154" s="192" t="s">
        <v>13</v>
      </c>
      <c r="L154" s="192">
        <v>20</v>
      </c>
      <c r="M154" s="193">
        <v>46295</v>
      </c>
      <c r="N154" s="192">
        <v>20</v>
      </c>
      <c r="O154" s="192">
        <v>20</v>
      </c>
      <c r="P154" s="192">
        <v>20</v>
      </c>
      <c r="Q154" s="192">
        <v>20</v>
      </c>
      <c r="R154" s="192">
        <v>20</v>
      </c>
      <c r="S154" s="192">
        <v>20</v>
      </c>
      <c r="T154" s="192">
        <v>20</v>
      </c>
      <c r="U154" s="192">
        <f t="shared" si="44"/>
        <v>0</v>
      </c>
      <c r="V154" s="192">
        <v>20</v>
      </c>
      <c r="W154" s="192">
        <f t="shared" si="45"/>
        <v>0</v>
      </c>
      <c r="X154" s="194">
        <f t="shared" si="46"/>
        <v>0</v>
      </c>
      <c r="Y154" s="194">
        <f t="shared" si="47"/>
        <v>0</v>
      </c>
      <c r="Z154" s="194">
        <f t="shared" si="48"/>
        <v>0</v>
      </c>
      <c r="AA154" s="194">
        <f t="shared" si="49"/>
        <v>0</v>
      </c>
      <c r="AB154" s="194">
        <f t="shared" si="50"/>
        <v>0</v>
      </c>
      <c r="AC154" s="194">
        <f t="shared" si="51"/>
        <v>0</v>
      </c>
      <c r="AD154" s="194">
        <f t="shared" si="52"/>
        <v>0</v>
      </c>
      <c r="AE154" s="194">
        <f t="shared" si="53"/>
        <v>0</v>
      </c>
      <c r="AF154" s="194">
        <v>0</v>
      </c>
      <c r="AG154" s="194">
        <v>0</v>
      </c>
      <c r="AH154" s="194">
        <v>0</v>
      </c>
      <c r="AI154" s="194">
        <v>0</v>
      </c>
      <c r="AJ154" s="194">
        <v>0</v>
      </c>
      <c r="AK154" s="194">
        <f t="shared" si="54"/>
        <v>0</v>
      </c>
    </row>
    <row r="155" spans="1:37" ht="15" customHeight="1" x14ac:dyDescent="0.25">
      <c r="A155" s="192" t="s">
        <v>1288</v>
      </c>
      <c r="B155" s="192" t="s">
        <v>659</v>
      </c>
      <c r="C155" s="192" t="s">
        <v>871</v>
      </c>
      <c r="D155" s="192" t="s">
        <v>997</v>
      </c>
      <c r="E155" s="192" t="s">
        <v>998</v>
      </c>
      <c r="F155" s="192" t="s">
        <v>1289</v>
      </c>
      <c r="G155" s="193">
        <v>46239</v>
      </c>
      <c r="H155" s="192" t="s">
        <v>1000</v>
      </c>
      <c r="I155" s="192" t="s">
        <v>1007</v>
      </c>
      <c r="J155" s="192" t="s">
        <v>1008</v>
      </c>
      <c r="K155" s="192" t="s">
        <v>13</v>
      </c>
      <c r="L155" s="192">
        <v>20</v>
      </c>
      <c r="M155" s="193">
        <v>46295</v>
      </c>
      <c r="N155" s="192">
        <v>20</v>
      </c>
      <c r="O155" s="192">
        <v>20</v>
      </c>
      <c r="P155" s="192">
        <v>20</v>
      </c>
      <c r="Q155" s="192">
        <v>20</v>
      </c>
      <c r="R155" s="192">
        <v>20</v>
      </c>
      <c r="S155" s="192">
        <v>20</v>
      </c>
      <c r="T155" s="192">
        <v>20</v>
      </c>
      <c r="U155" s="192">
        <f t="shared" si="44"/>
        <v>0</v>
      </c>
      <c r="V155" s="192">
        <v>20</v>
      </c>
      <c r="W155" s="192">
        <f t="shared" si="45"/>
        <v>0</v>
      </c>
      <c r="X155" s="194">
        <f t="shared" si="46"/>
        <v>0</v>
      </c>
      <c r="Y155" s="194">
        <f t="shared" si="47"/>
        <v>0</v>
      </c>
      <c r="Z155" s="194">
        <f t="shared" si="48"/>
        <v>0</v>
      </c>
      <c r="AA155" s="194">
        <f t="shared" si="49"/>
        <v>0</v>
      </c>
      <c r="AB155" s="194">
        <f t="shared" si="50"/>
        <v>0</v>
      </c>
      <c r="AC155" s="194">
        <f t="shared" si="51"/>
        <v>0</v>
      </c>
      <c r="AD155" s="194">
        <f t="shared" si="52"/>
        <v>0</v>
      </c>
      <c r="AE155" s="194">
        <f t="shared" si="53"/>
        <v>0</v>
      </c>
      <c r="AF155" s="194">
        <v>0</v>
      </c>
      <c r="AG155" s="194">
        <v>0</v>
      </c>
      <c r="AH155" s="194">
        <v>0</v>
      </c>
      <c r="AI155" s="194">
        <v>0</v>
      </c>
      <c r="AJ155" s="194">
        <v>0</v>
      </c>
      <c r="AK155" s="194">
        <f t="shared" si="54"/>
        <v>0</v>
      </c>
    </row>
    <row r="156" spans="1:37" ht="15" customHeight="1" x14ac:dyDescent="0.25">
      <c r="A156" s="192" t="s">
        <v>1288</v>
      </c>
      <c r="B156" s="192" t="s">
        <v>659</v>
      </c>
      <c r="C156" s="192" t="s">
        <v>871</v>
      </c>
      <c r="D156" s="192" t="s">
        <v>997</v>
      </c>
      <c r="E156" s="192" t="s">
        <v>998</v>
      </c>
      <c r="F156" s="192" t="s">
        <v>1289</v>
      </c>
      <c r="G156" s="193">
        <v>46239</v>
      </c>
      <c r="H156" s="192" t="s">
        <v>1000</v>
      </c>
      <c r="I156" s="192" t="s">
        <v>1009</v>
      </c>
      <c r="J156" s="192" t="s">
        <v>1010</v>
      </c>
      <c r="K156" s="192" t="s">
        <v>13</v>
      </c>
      <c r="L156" s="192">
        <v>30</v>
      </c>
      <c r="M156" s="193">
        <v>46295</v>
      </c>
      <c r="N156" s="192">
        <v>30</v>
      </c>
      <c r="O156" s="192">
        <v>30</v>
      </c>
      <c r="P156" s="192">
        <v>30</v>
      </c>
      <c r="Q156" s="192">
        <v>30</v>
      </c>
      <c r="R156" s="192">
        <v>30</v>
      </c>
      <c r="S156" s="192">
        <v>30</v>
      </c>
      <c r="T156" s="192">
        <v>30</v>
      </c>
      <c r="U156" s="192">
        <f t="shared" si="44"/>
        <v>0</v>
      </c>
      <c r="V156" s="192">
        <v>30</v>
      </c>
      <c r="W156" s="192">
        <f t="shared" si="45"/>
        <v>0</v>
      </c>
      <c r="X156" s="194">
        <f t="shared" si="46"/>
        <v>0</v>
      </c>
      <c r="Y156" s="194">
        <f t="shared" si="47"/>
        <v>0</v>
      </c>
      <c r="Z156" s="194">
        <f t="shared" si="48"/>
        <v>0</v>
      </c>
      <c r="AA156" s="194">
        <f t="shared" si="49"/>
        <v>0</v>
      </c>
      <c r="AB156" s="194">
        <f t="shared" si="50"/>
        <v>0</v>
      </c>
      <c r="AC156" s="194">
        <f t="shared" si="51"/>
        <v>0</v>
      </c>
      <c r="AD156" s="194">
        <f t="shared" si="52"/>
        <v>0</v>
      </c>
      <c r="AE156" s="194">
        <f t="shared" si="53"/>
        <v>0</v>
      </c>
      <c r="AF156" s="194">
        <v>0</v>
      </c>
      <c r="AG156" s="194">
        <v>0</v>
      </c>
      <c r="AH156" s="194">
        <v>0</v>
      </c>
      <c r="AI156" s="194">
        <v>0</v>
      </c>
      <c r="AJ156" s="194">
        <v>0</v>
      </c>
      <c r="AK156" s="194">
        <f t="shared" si="54"/>
        <v>0</v>
      </c>
    </row>
    <row r="157" spans="1:37" ht="15" customHeight="1" x14ac:dyDescent="0.25">
      <c r="A157" s="192" t="s">
        <v>1288</v>
      </c>
      <c r="B157" s="192" t="s">
        <v>659</v>
      </c>
      <c r="C157" s="192" t="s">
        <v>871</v>
      </c>
      <c r="D157" s="192" t="s">
        <v>997</v>
      </c>
      <c r="E157" s="192" t="s">
        <v>998</v>
      </c>
      <c r="F157" s="192" t="s">
        <v>1289</v>
      </c>
      <c r="G157" s="193">
        <v>46239</v>
      </c>
      <c r="H157" s="192" t="s">
        <v>1000</v>
      </c>
      <c r="I157" s="192" t="s">
        <v>1013</v>
      </c>
      <c r="J157" s="192" t="s">
        <v>1014</v>
      </c>
      <c r="K157" s="192" t="s">
        <v>13</v>
      </c>
      <c r="L157" s="192">
        <v>20</v>
      </c>
      <c r="M157" s="193">
        <v>46295</v>
      </c>
      <c r="N157" s="192">
        <v>20</v>
      </c>
      <c r="O157" s="192">
        <v>20</v>
      </c>
      <c r="P157" s="192">
        <v>20</v>
      </c>
      <c r="Q157" s="192">
        <v>20</v>
      </c>
      <c r="R157" s="192">
        <v>20</v>
      </c>
      <c r="S157" s="192">
        <v>20</v>
      </c>
      <c r="T157" s="192">
        <f>7+13</f>
        <v>20</v>
      </c>
      <c r="U157" s="196">
        <f t="shared" si="44"/>
        <v>0</v>
      </c>
      <c r="V157" s="196">
        <f>7+13</f>
        <v>20</v>
      </c>
      <c r="W157" s="192">
        <f t="shared" si="45"/>
        <v>0</v>
      </c>
      <c r="X157" s="194">
        <f t="shared" si="46"/>
        <v>0</v>
      </c>
      <c r="Y157" s="194">
        <f t="shared" si="47"/>
        <v>0</v>
      </c>
      <c r="Z157" s="194">
        <f t="shared" si="48"/>
        <v>0</v>
      </c>
      <c r="AA157" s="194">
        <f t="shared" si="49"/>
        <v>0</v>
      </c>
      <c r="AB157" s="194">
        <f t="shared" si="50"/>
        <v>0</v>
      </c>
      <c r="AC157" s="194">
        <f t="shared" si="51"/>
        <v>0</v>
      </c>
      <c r="AD157" s="194">
        <f t="shared" si="52"/>
        <v>0</v>
      </c>
      <c r="AE157" s="194">
        <f t="shared" si="53"/>
        <v>0</v>
      </c>
      <c r="AF157" s="194">
        <v>0</v>
      </c>
      <c r="AG157" s="194">
        <v>0</v>
      </c>
      <c r="AH157" s="194">
        <v>0</v>
      </c>
      <c r="AI157" s="194">
        <v>0</v>
      </c>
      <c r="AJ157" s="194">
        <v>0</v>
      </c>
      <c r="AK157" s="194">
        <f t="shared" si="54"/>
        <v>0</v>
      </c>
    </row>
    <row r="158" spans="1:37" ht="15" customHeight="1" x14ac:dyDescent="0.25">
      <c r="A158" s="192" t="s">
        <v>1288</v>
      </c>
      <c r="B158" s="192" t="s">
        <v>659</v>
      </c>
      <c r="C158" s="192" t="s">
        <v>871</v>
      </c>
      <c r="D158" s="192" t="s">
        <v>997</v>
      </c>
      <c r="E158" s="192" t="s">
        <v>998</v>
      </c>
      <c r="F158" s="192" t="s">
        <v>1289</v>
      </c>
      <c r="G158" s="193">
        <v>46239</v>
      </c>
      <c r="H158" s="192" t="s">
        <v>1000</v>
      </c>
      <c r="I158" s="192" t="s">
        <v>1148</v>
      </c>
      <c r="J158" s="192" t="s">
        <v>1149</v>
      </c>
      <c r="K158" s="192" t="s">
        <v>13</v>
      </c>
      <c r="L158" s="192">
        <v>20</v>
      </c>
      <c r="M158" s="193">
        <v>46295</v>
      </c>
      <c r="N158" s="192">
        <v>20</v>
      </c>
      <c r="O158" s="192">
        <v>20</v>
      </c>
      <c r="P158" s="192">
        <v>20</v>
      </c>
      <c r="Q158" s="192">
        <v>20</v>
      </c>
      <c r="R158" s="192">
        <v>20</v>
      </c>
      <c r="S158" s="192">
        <v>20</v>
      </c>
      <c r="T158" s="192">
        <v>20</v>
      </c>
      <c r="U158" s="192">
        <f t="shared" si="44"/>
        <v>0</v>
      </c>
      <c r="V158" s="192">
        <v>20</v>
      </c>
      <c r="W158" s="192">
        <f t="shared" si="45"/>
        <v>0</v>
      </c>
      <c r="X158" s="194">
        <f t="shared" si="46"/>
        <v>0</v>
      </c>
      <c r="Y158" s="194">
        <f t="shared" si="47"/>
        <v>0</v>
      </c>
      <c r="Z158" s="194">
        <f t="shared" si="48"/>
        <v>0</v>
      </c>
      <c r="AA158" s="194">
        <f t="shared" si="49"/>
        <v>0</v>
      </c>
      <c r="AB158" s="194">
        <f t="shared" si="50"/>
        <v>0</v>
      </c>
      <c r="AC158" s="194">
        <f t="shared" si="51"/>
        <v>0</v>
      </c>
      <c r="AD158" s="194">
        <f t="shared" si="52"/>
        <v>0</v>
      </c>
      <c r="AE158" s="194">
        <f t="shared" si="53"/>
        <v>0</v>
      </c>
      <c r="AF158" s="194">
        <v>0</v>
      </c>
      <c r="AG158" s="194">
        <v>0</v>
      </c>
      <c r="AH158" s="194">
        <v>0</v>
      </c>
      <c r="AI158" s="194">
        <v>0</v>
      </c>
      <c r="AJ158" s="194">
        <v>0</v>
      </c>
      <c r="AK158" s="194">
        <f t="shared" si="54"/>
        <v>0</v>
      </c>
    </row>
    <row r="159" spans="1:37" ht="15" customHeight="1" x14ac:dyDescent="0.25">
      <c r="A159" s="197" t="s">
        <v>1290</v>
      </c>
      <c r="B159" s="192" t="s">
        <v>763</v>
      </c>
      <c r="C159" s="192" t="s">
        <v>837</v>
      </c>
      <c r="D159" s="192" t="s">
        <v>997</v>
      </c>
      <c r="E159" s="192" t="s">
        <v>998</v>
      </c>
      <c r="F159" s="192" t="s">
        <v>1291</v>
      </c>
      <c r="G159" s="193">
        <v>46242</v>
      </c>
      <c r="H159" s="192" t="s">
        <v>1000</v>
      </c>
      <c r="I159" s="192" t="s">
        <v>1040</v>
      </c>
      <c r="J159" s="192" t="s">
        <v>1041</v>
      </c>
      <c r="K159" s="192" t="s">
        <v>15</v>
      </c>
      <c r="L159" s="192">
        <v>240</v>
      </c>
      <c r="M159" s="193">
        <v>46305</v>
      </c>
      <c r="N159" s="192">
        <v>240</v>
      </c>
      <c r="O159" s="192">
        <v>240</v>
      </c>
      <c r="P159" s="192">
        <v>240</v>
      </c>
      <c r="Q159" s="192">
        <v>240</v>
      </c>
      <c r="R159" s="192">
        <v>240</v>
      </c>
      <c r="S159" s="192">
        <v>240</v>
      </c>
      <c r="T159" s="192">
        <v>240</v>
      </c>
      <c r="U159" s="196">
        <f t="shared" si="44"/>
        <v>0</v>
      </c>
      <c r="V159" s="196">
        <v>240</v>
      </c>
      <c r="W159" s="192">
        <f t="shared" si="45"/>
        <v>0</v>
      </c>
      <c r="X159" s="194">
        <f t="shared" si="46"/>
        <v>0</v>
      </c>
      <c r="Y159" s="194">
        <f t="shared" si="47"/>
        <v>0</v>
      </c>
      <c r="Z159" s="194">
        <f t="shared" si="48"/>
        <v>0</v>
      </c>
      <c r="AA159" s="194">
        <f t="shared" si="49"/>
        <v>0</v>
      </c>
      <c r="AB159" s="194">
        <f t="shared" si="50"/>
        <v>0</v>
      </c>
      <c r="AC159" s="194">
        <f t="shared" si="51"/>
        <v>0</v>
      </c>
      <c r="AD159" s="194">
        <f t="shared" si="52"/>
        <v>0</v>
      </c>
      <c r="AE159" s="194">
        <f t="shared" si="53"/>
        <v>0</v>
      </c>
      <c r="AF159" s="194">
        <v>0</v>
      </c>
      <c r="AG159" s="194">
        <v>0</v>
      </c>
      <c r="AH159" s="194">
        <v>0</v>
      </c>
      <c r="AI159" s="194">
        <v>0</v>
      </c>
      <c r="AJ159" s="194">
        <v>0</v>
      </c>
      <c r="AK159" s="194">
        <f t="shared" si="54"/>
        <v>0</v>
      </c>
    </row>
    <row r="160" spans="1:37" ht="15" customHeight="1" x14ac:dyDescent="0.25">
      <c r="A160" s="192" t="s">
        <v>1292</v>
      </c>
      <c r="B160" s="192" t="s">
        <v>807</v>
      </c>
      <c r="C160" s="192" t="s">
        <v>692</v>
      </c>
      <c r="D160" s="192" t="s">
        <v>1160</v>
      </c>
      <c r="E160" s="192" t="s">
        <v>998</v>
      </c>
      <c r="F160" s="192" t="s">
        <v>1293</v>
      </c>
      <c r="G160" s="193">
        <v>46263</v>
      </c>
      <c r="H160" s="192" t="s">
        <v>1000</v>
      </c>
      <c r="I160" s="192" t="s">
        <v>1065</v>
      </c>
      <c r="J160" s="192" t="s">
        <v>1256</v>
      </c>
      <c r="K160" s="192" t="s">
        <v>13</v>
      </c>
      <c r="L160" s="192">
        <v>4</v>
      </c>
      <c r="M160" s="193">
        <v>46290</v>
      </c>
      <c r="N160" s="192">
        <v>4</v>
      </c>
      <c r="O160" s="192">
        <v>4</v>
      </c>
      <c r="P160" s="192">
        <v>4</v>
      </c>
      <c r="Q160" s="192">
        <v>4</v>
      </c>
      <c r="R160" s="192">
        <v>4</v>
      </c>
      <c r="S160" s="192">
        <v>4</v>
      </c>
      <c r="T160" s="192">
        <v>4</v>
      </c>
      <c r="U160" s="192">
        <f t="shared" si="44"/>
        <v>0</v>
      </c>
      <c r="V160" s="192">
        <v>4</v>
      </c>
      <c r="W160" s="192">
        <f t="shared" si="45"/>
        <v>0</v>
      </c>
      <c r="X160" s="194">
        <f t="shared" si="46"/>
        <v>0</v>
      </c>
      <c r="Y160" s="194">
        <f t="shared" si="47"/>
        <v>0</v>
      </c>
      <c r="Z160" s="194">
        <f t="shared" si="48"/>
        <v>0</v>
      </c>
      <c r="AA160" s="194">
        <f t="shared" si="49"/>
        <v>0</v>
      </c>
      <c r="AB160" s="194">
        <f t="shared" si="50"/>
        <v>0</v>
      </c>
      <c r="AC160" s="194">
        <f t="shared" si="51"/>
        <v>0</v>
      </c>
      <c r="AD160" s="194">
        <f t="shared" si="52"/>
        <v>0</v>
      </c>
      <c r="AE160" s="194">
        <f t="shared" si="53"/>
        <v>0</v>
      </c>
      <c r="AF160" s="194">
        <v>0</v>
      </c>
      <c r="AG160" s="194">
        <v>0</v>
      </c>
      <c r="AH160" s="194">
        <v>0</v>
      </c>
      <c r="AI160" s="194">
        <v>0</v>
      </c>
      <c r="AJ160" s="194">
        <v>0</v>
      </c>
      <c r="AK160" s="194">
        <f t="shared" si="54"/>
        <v>0</v>
      </c>
    </row>
    <row r="161" spans="1:37" ht="15" customHeight="1" x14ac:dyDescent="0.25">
      <c r="A161" s="198" t="s">
        <v>1197</v>
      </c>
      <c r="B161" s="192" t="s">
        <v>803</v>
      </c>
      <c r="C161" s="192" t="s">
        <v>869</v>
      </c>
      <c r="D161" s="192" t="s">
        <v>997</v>
      </c>
      <c r="E161" s="192" t="s">
        <v>998</v>
      </c>
      <c r="F161" s="192" t="s">
        <v>1294</v>
      </c>
      <c r="G161" s="193">
        <v>46252</v>
      </c>
      <c r="H161" s="192" t="s">
        <v>1000</v>
      </c>
      <c r="I161" s="192" t="s">
        <v>1059</v>
      </c>
      <c r="J161" s="192" t="s">
        <v>1060</v>
      </c>
      <c r="K161" s="192" t="s">
        <v>13</v>
      </c>
      <c r="L161" s="192">
        <v>32</v>
      </c>
      <c r="M161" s="193">
        <v>46300</v>
      </c>
      <c r="N161" s="192">
        <v>32</v>
      </c>
      <c r="O161" s="192">
        <v>32</v>
      </c>
      <c r="P161" s="192">
        <v>32</v>
      </c>
      <c r="Q161" s="192">
        <v>32</v>
      </c>
      <c r="R161" s="192">
        <v>32</v>
      </c>
      <c r="S161" s="192">
        <v>32</v>
      </c>
      <c r="T161" s="192">
        <v>32</v>
      </c>
      <c r="U161" s="192">
        <f t="shared" si="44"/>
        <v>0</v>
      </c>
      <c r="V161" s="192">
        <v>32</v>
      </c>
      <c r="W161" s="192">
        <f t="shared" si="45"/>
        <v>0</v>
      </c>
      <c r="X161" s="194">
        <f t="shared" si="46"/>
        <v>0</v>
      </c>
      <c r="Y161" s="194">
        <f t="shared" si="47"/>
        <v>0</v>
      </c>
      <c r="Z161" s="194">
        <f t="shared" si="48"/>
        <v>0</v>
      </c>
      <c r="AA161" s="194">
        <f t="shared" si="49"/>
        <v>0</v>
      </c>
      <c r="AB161" s="194">
        <f t="shared" si="50"/>
        <v>0</v>
      </c>
      <c r="AC161" s="194">
        <f t="shared" si="51"/>
        <v>0</v>
      </c>
      <c r="AD161" s="194">
        <f t="shared" si="52"/>
        <v>0</v>
      </c>
      <c r="AE161" s="194">
        <f t="shared" si="53"/>
        <v>0</v>
      </c>
      <c r="AF161" s="194">
        <v>0</v>
      </c>
      <c r="AG161" s="194">
        <v>0</v>
      </c>
      <c r="AH161" s="194">
        <v>0</v>
      </c>
      <c r="AI161" s="194">
        <v>0</v>
      </c>
      <c r="AJ161" s="194">
        <v>0</v>
      </c>
      <c r="AK161" s="194">
        <f t="shared" si="54"/>
        <v>0</v>
      </c>
    </row>
    <row r="162" spans="1:37" ht="15" customHeight="1" x14ac:dyDescent="0.25">
      <c r="A162" s="198" t="s">
        <v>1197</v>
      </c>
      <c r="B162" s="192" t="s">
        <v>803</v>
      </c>
      <c r="C162" s="192" t="s">
        <v>869</v>
      </c>
      <c r="D162" s="192" t="s">
        <v>997</v>
      </c>
      <c r="E162" s="192" t="s">
        <v>998</v>
      </c>
      <c r="F162" s="192" t="s">
        <v>1294</v>
      </c>
      <c r="G162" s="193">
        <v>46252</v>
      </c>
      <c r="H162" s="192" t="s">
        <v>1000</v>
      </c>
      <c r="I162" s="192" t="s">
        <v>1265</v>
      </c>
      <c r="J162" s="192" t="s">
        <v>1266</v>
      </c>
      <c r="K162" s="192" t="s">
        <v>13</v>
      </c>
      <c r="L162" s="192">
        <v>16</v>
      </c>
      <c r="M162" s="193">
        <v>46300</v>
      </c>
      <c r="N162" s="192">
        <v>16</v>
      </c>
      <c r="O162" s="192">
        <v>16</v>
      </c>
      <c r="P162" s="192">
        <v>16</v>
      </c>
      <c r="Q162" s="192">
        <v>16</v>
      </c>
      <c r="R162" s="192">
        <v>16</v>
      </c>
      <c r="S162" s="192">
        <v>16</v>
      </c>
      <c r="T162" s="192">
        <v>16</v>
      </c>
      <c r="U162" s="192">
        <f t="shared" ref="U162:U193" si="55">L162-T162</f>
        <v>0</v>
      </c>
      <c r="V162" s="192">
        <v>16</v>
      </c>
      <c r="W162" s="192">
        <f t="shared" ref="W162:W193" si="56">T162-V162</f>
        <v>0</v>
      </c>
      <c r="X162" s="194">
        <f t="shared" ref="X162:X193" si="57">IF(N162-O162&gt;0,1,0)</f>
        <v>0</v>
      </c>
      <c r="Y162" s="194">
        <f t="shared" ref="Y162:Y193" si="58">IF(O162-P162&gt;0,1,0)</f>
        <v>0</v>
      </c>
      <c r="Z162" s="194">
        <f t="shared" ref="Z162:Z193" si="59">IF(P162-Q162&gt;0,1,0)</f>
        <v>0</v>
      </c>
      <c r="AA162" s="194">
        <f t="shared" ref="AA162:AA193" si="60">IF(Q162-R162&gt;0,1,0)</f>
        <v>0</v>
      </c>
      <c r="AB162" s="194">
        <f t="shared" ref="AB162:AB193" si="61">IF(R162-S162&gt;0,1,0)</f>
        <v>0</v>
      </c>
      <c r="AC162" s="194">
        <f t="shared" ref="AC162:AC193" si="62">IF(S162-T162&gt;0,1,0)</f>
        <v>0</v>
      </c>
      <c r="AD162" s="194">
        <f t="shared" ref="AD162:AD193" si="63">IF(L162-V162&gt;0,1,0)</f>
        <v>0</v>
      </c>
      <c r="AE162" s="194">
        <f t="shared" ref="AE162:AE193" si="64">IF(L162-T162&gt;0,1,0)</f>
        <v>0</v>
      </c>
      <c r="AF162" s="194">
        <v>0</v>
      </c>
      <c r="AG162" s="194">
        <v>0</v>
      </c>
      <c r="AH162" s="194">
        <v>0</v>
      </c>
      <c r="AI162" s="194">
        <v>0</v>
      </c>
      <c r="AJ162" s="194">
        <v>0</v>
      </c>
      <c r="AK162" s="194">
        <f t="shared" ref="AK162:AK193" si="65">IF(T162-V162&gt;0,1,0)</f>
        <v>0</v>
      </c>
    </row>
    <row r="163" spans="1:37" ht="15" customHeight="1" x14ac:dyDescent="0.25">
      <c r="A163" s="197" t="s">
        <v>1197</v>
      </c>
      <c r="B163" s="192" t="s">
        <v>803</v>
      </c>
      <c r="C163" s="192" t="s">
        <v>869</v>
      </c>
      <c r="D163" s="192" t="s">
        <v>997</v>
      </c>
      <c r="E163" s="192" t="s">
        <v>998</v>
      </c>
      <c r="F163" s="192" t="s">
        <v>1295</v>
      </c>
      <c r="G163" s="193">
        <v>46259</v>
      </c>
      <c r="H163" s="192" t="s">
        <v>1000</v>
      </c>
      <c r="I163" s="192" t="s">
        <v>1265</v>
      </c>
      <c r="J163" s="192" t="s">
        <v>1266</v>
      </c>
      <c r="K163" s="192" t="s">
        <v>13</v>
      </c>
      <c r="L163" s="192">
        <v>8</v>
      </c>
      <c r="M163" s="193">
        <v>46312</v>
      </c>
      <c r="N163" s="192">
        <v>8</v>
      </c>
      <c r="O163" s="192">
        <v>8</v>
      </c>
      <c r="P163" s="192">
        <v>8</v>
      </c>
      <c r="Q163" s="192">
        <v>8</v>
      </c>
      <c r="R163" s="192">
        <v>8</v>
      </c>
      <c r="S163" s="192">
        <v>8</v>
      </c>
      <c r="T163" s="192">
        <v>8</v>
      </c>
      <c r="U163" s="192">
        <f t="shared" si="55"/>
        <v>0</v>
      </c>
      <c r="V163" s="192">
        <v>8</v>
      </c>
      <c r="W163" s="192">
        <f t="shared" si="56"/>
        <v>0</v>
      </c>
      <c r="X163" s="194">
        <f t="shared" si="57"/>
        <v>0</v>
      </c>
      <c r="Y163" s="194">
        <f t="shared" si="58"/>
        <v>0</v>
      </c>
      <c r="Z163" s="194">
        <f t="shared" si="59"/>
        <v>0</v>
      </c>
      <c r="AA163" s="194">
        <f t="shared" si="60"/>
        <v>0</v>
      </c>
      <c r="AB163" s="194">
        <f t="shared" si="61"/>
        <v>0</v>
      </c>
      <c r="AC163" s="194">
        <f t="shared" si="62"/>
        <v>0</v>
      </c>
      <c r="AD163" s="194">
        <f t="shared" si="63"/>
        <v>0</v>
      </c>
      <c r="AE163" s="194">
        <f t="shared" si="64"/>
        <v>0</v>
      </c>
      <c r="AF163" s="194">
        <v>0</v>
      </c>
      <c r="AG163" s="194">
        <v>0</v>
      </c>
      <c r="AH163" s="194">
        <v>0</v>
      </c>
      <c r="AI163" s="194">
        <v>0</v>
      </c>
      <c r="AJ163" s="194">
        <v>0</v>
      </c>
      <c r="AK163" s="194">
        <f t="shared" si="65"/>
        <v>0</v>
      </c>
    </row>
    <row r="164" spans="1:37" ht="15" customHeight="1" x14ac:dyDescent="0.25">
      <c r="A164" s="197" t="s">
        <v>1197</v>
      </c>
      <c r="B164" s="192" t="s">
        <v>803</v>
      </c>
      <c r="C164" s="192" t="s">
        <v>869</v>
      </c>
      <c r="D164" s="192" t="s">
        <v>997</v>
      </c>
      <c r="E164" s="192" t="s">
        <v>998</v>
      </c>
      <c r="F164" s="192" t="s">
        <v>1295</v>
      </c>
      <c r="G164" s="193">
        <v>46259</v>
      </c>
      <c r="H164" s="192" t="s">
        <v>1000</v>
      </c>
      <c r="I164" s="192" t="s">
        <v>1059</v>
      </c>
      <c r="J164" s="192" t="s">
        <v>1060</v>
      </c>
      <c r="K164" s="192" t="s">
        <v>13</v>
      </c>
      <c r="L164" s="192">
        <v>8</v>
      </c>
      <c r="M164" s="193">
        <v>46312</v>
      </c>
      <c r="N164" s="192">
        <v>8</v>
      </c>
      <c r="O164" s="192">
        <v>8</v>
      </c>
      <c r="P164" s="192">
        <v>8</v>
      </c>
      <c r="Q164" s="192">
        <v>8</v>
      </c>
      <c r="R164" s="192">
        <v>8</v>
      </c>
      <c r="S164" s="192">
        <v>8</v>
      </c>
      <c r="T164" s="192">
        <v>8</v>
      </c>
      <c r="U164" s="192">
        <f t="shared" si="55"/>
        <v>0</v>
      </c>
      <c r="V164" s="192">
        <v>8</v>
      </c>
      <c r="W164" s="192">
        <f t="shared" si="56"/>
        <v>0</v>
      </c>
      <c r="X164" s="194">
        <f t="shared" si="57"/>
        <v>0</v>
      </c>
      <c r="Y164" s="194">
        <f t="shared" si="58"/>
        <v>0</v>
      </c>
      <c r="Z164" s="194">
        <f t="shared" si="59"/>
        <v>0</v>
      </c>
      <c r="AA164" s="194">
        <f t="shared" si="60"/>
        <v>0</v>
      </c>
      <c r="AB164" s="194">
        <f t="shared" si="61"/>
        <v>0</v>
      </c>
      <c r="AC164" s="194">
        <f t="shared" si="62"/>
        <v>0</v>
      </c>
      <c r="AD164" s="194">
        <f t="shared" si="63"/>
        <v>0</v>
      </c>
      <c r="AE164" s="194">
        <f t="shared" si="64"/>
        <v>0</v>
      </c>
      <c r="AF164" s="194">
        <v>0</v>
      </c>
      <c r="AG164" s="194">
        <v>0</v>
      </c>
      <c r="AH164" s="194">
        <v>0</v>
      </c>
      <c r="AI164" s="194">
        <v>0</v>
      </c>
      <c r="AJ164" s="194">
        <v>0</v>
      </c>
      <c r="AK164" s="194">
        <f t="shared" si="65"/>
        <v>0</v>
      </c>
    </row>
    <row r="165" spans="1:37" ht="15" customHeight="1" x14ac:dyDescent="0.25">
      <c r="A165" s="198" t="s">
        <v>1251</v>
      </c>
      <c r="B165" s="192" t="s">
        <v>630</v>
      </c>
      <c r="C165" s="192" t="s">
        <v>826</v>
      </c>
      <c r="D165" s="192" t="s">
        <v>997</v>
      </c>
      <c r="E165" s="192" t="s">
        <v>998</v>
      </c>
      <c r="F165" s="192" t="s">
        <v>1296</v>
      </c>
      <c r="G165" s="193">
        <v>46259</v>
      </c>
      <c r="H165" s="192" t="s">
        <v>1000</v>
      </c>
      <c r="I165" s="192" t="s">
        <v>1120</v>
      </c>
      <c r="J165" s="192" t="s">
        <v>1121</v>
      </c>
      <c r="K165" s="192" t="s">
        <v>15</v>
      </c>
      <c r="L165" s="192">
        <v>5</v>
      </c>
      <c r="M165" s="193">
        <v>46284</v>
      </c>
      <c r="N165" s="192">
        <v>5</v>
      </c>
      <c r="O165" s="192">
        <v>5</v>
      </c>
      <c r="P165" s="192">
        <v>5</v>
      </c>
      <c r="Q165" s="192">
        <v>5</v>
      </c>
      <c r="R165" s="192">
        <v>5</v>
      </c>
      <c r="S165" s="192">
        <v>5</v>
      </c>
      <c r="T165" s="192">
        <v>5</v>
      </c>
      <c r="U165" s="192">
        <f t="shared" si="55"/>
        <v>0</v>
      </c>
      <c r="V165" s="192">
        <v>5</v>
      </c>
      <c r="W165" s="192">
        <f t="shared" si="56"/>
        <v>0</v>
      </c>
      <c r="X165" s="194">
        <f t="shared" si="57"/>
        <v>0</v>
      </c>
      <c r="Y165" s="194">
        <f t="shared" si="58"/>
        <v>0</v>
      </c>
      <c r="Z165" s="194">
        <f t="shared" si="59"/>
        <v>0</v>
      </c>
      <c r="AA165" s="194">
        <f t="shared" si="60"/>
        <v>0</v>
      </c>
      <c r="AB165" s="194">
        <f t="shared" si="61"/>
        <v>0</v>
      </c>
      <c r="AC165" s="194">
        <f t="shared" si="62"/>
        <v>0</v>
      </c>
      <c r="AD165" s="194">
        <f t="shared" si="63"/>
        <v>0</v>
      </c>
      <c r="AE165" s="194">
        <f t="shared" si="64"/>
        <v>0</v>
      </c>
      <c r="AF165" s="194">
        <v>0</v>
      </c>
      <c r="AG165" s="194">
        <v>0</v>
      </c>
      <c r="AH165" s="194">
        <v>0</v>
      </c>
      <c r="AI165" s="194">
        <v>0</v>
      </c>
      <c r="AJ165" s="194">
        <v>0</v>
      </c>
      <c r="AK165" s="194">
        <f t="shared" si="65"/>
        <v>0</v>
      </c>
    </row>
    <row r="166" spans="1:37" s="201" customFormat="1" ht="15" customHeight="1" x14ac:dyDescent="0.25">
      <c r="A166" s="199" t="s">
        <v>1297</v>
      </c>
      <c r="B166" s="199" t="s">
        <v>808</v>
      </c>
      <c r="C166" s="199" t="s">
        <v>692</v>
      </c>
      <c r="D166" s="199" t="s">
        <v>1160</v>
      </c>
      <c r="E166" s="199" t="s">
        <v>998</v>
      </c>
      <c r="F166" s="199" t="s">
        <v>1298</v>
      </c>
      <c r="G166" s="200">
        <v>46270</v>
      </c>
      <c r="H166" s="199" t="s">
        <v>1000</v>
      </c>
      <c r="I166" s="199" t="s">
        <v>1013</v>
      </c>
      <c r="J166" s="199" t="s">
        <v>1014</v>
      </c>
      <c r="K166" s="199" t="s">
        <v>13</v>
      </c>
      <c r="L166" s="199">
        <v>54</v>
      </c>
      <c r="M166" s="200">
        <v>46295</v>
      </c>
      <c r="N166" s="199">
        <v>54</v>
      </c>
      <c r="O166" s="199">
        <v>54</v>
      </c>
      <c r="P166" s="199">
        <v>54</v>
      </c>
      <c r="Q166" s="199">
        <v>54</v>
      </c>
      <c r="R166" s="199">
        <v>54</v>
      </c>
      <c r="S166" s="199">
        <v>54</v>
      </c>
      <c r="T166" s="199">
        <v>54</v>
      </c>
      <c r="U166" s="201">
        <f t="shared" si="55"/>
        <v>0</v>
      </c>
      <c r="V166" s="201">
        <v>54</v>
      </c>
      <c r="W166" s="199">
        <f t="shared" si="56"/>
        <v>0</v>
      </c>
      <c r="X166" s="199">
        <f t="shared" si="57"/>
        <v>0</v>
      </c>
      <c r="Y166" s="199">
        <f t="shared" si="58"/>
        <v>0</v>
      </c>
      <c r="Z166" s="199">
        <f t="shared" si="59"/>
        <v>0</v>
      </c>
      <c r="AA166" s="199">
        <f t="shared" si="60"/>
        <v>0</v>
      </c>
      <c r="AB166" s="199">
        <f t="shared" si="61"/>
        <v>0</v>
      </c>
      <c r="AC166" s="199">
        <f t="shared" si="62"/>
        <v>0</v>
      </c>
      <c r="AD166" s="199">
        <f t="shared" si="63"/>
        <v>0</v>
      </c>
      <c r="AE166" s="199">
        <f t="shared" si="64"/>
        <v>0</v>
      </c>
      <c r="AF166" s="199">
        <v>0</v>
      </c>
      <c r="AG166" s="199">
        <v>0</v>
      </c>
      <c r="AH166" s="199">
        <v>0</v>
      </c>
      <c r="AI166" s="199">
        <v>0</v>
      </c>
      <c r="AJ166" s="199">
        <v>0</v>
      </c>
      <c r="AK166" s="199">
        <f t="shared" si="65"/>
        <v>0</v>
      </c>
    </row>
    <row r="167" spans="1:37" s="201" customFormat="1" ht="15" customHeight="1" x14ac:dyDescent="0.25">
      <c r="A167" s="199" t="s">
        <v>1299</v>
      </c>
      <c r="B167" s="199" t="s">
        <v>1300</v>
      </c>
      <c r="C167" s="199" t="s">
        <v>776</v>
      </c>
      <c r="D167" s="199" t="s">
        <v>997</v>
      </c>
      <c r="E167" s="199" t="s">
        <v>998</v>
      </c>
      <c r="F167" s="199" t="s">
        <v>1301</v>
      </c>
      <c r="G167" s="200">
        <v>46279</v>
      </c>
      <c r="H167" s="199" t="s">
        <v>1000</v>
      </c>
      <c r="I167" s="199" t="s">
        <v>1069</v>
      </c>
      <c r="J167" s="199" t="s">
        <v>1122</v>
      </c>
      <c r="K167" s="199" t="s">
        <v>13</v>
      </c>
      <c r="L167" s="199">
        <v>20</v>
      </c>
      <c r="M167" s="200">
        <v>46320</v>
      </c>
      <c r="N167" s="199">
        <v>20</v>
      </c>
      <c r="O167" s="199">
        <v>20</v>
      </c>
      <c r="P167" s="199">
        <v>20</v>
      </c>
      <c r="Q167" s="199">
        <v>20</v>
      </c>
      <c r="R167" s="199">
        <v>20</v>
      </c>
      <c r="S167" s="199">
        <v>20</v>
      </c>
      <c r="T167" s="199">
        <v>20</v>
      </c>
      <c r="U167" s="199">
        <f t="shared" si="55"/>
        <v>0</v>
      </c>
      <c r="V167" s="199">
        <v>20</v>
      </c>
      <c r="W167" s="199">
        <f t="shared" si="56"/>
        <v>0</v>
      </c>
      <c r="X167" s="199">
        <f t="shared" si="57"/>
        <v>0</v>
      </c>
      <c r="Y167" s="199">
        <f t="shared" si="58"/>
        <v>0</v>
      </c>
      <c r="Z167" s="199">
        <f t="shared" si="59"/>
        <v>0</v>
      </c>
      <c r="AA167" s="199">
        <f t="shared" si="60"/>
        <v>0</v>
      </c>
      <c r="AB167" s="199">
        <f t="shared" si="61"/>
        <v>0</v>
      </c>
      <c r="AC167" s="199">
        <f t="shared" si="62"/>
        <v>0</v>
      </c>
      <c r="AD167" s="199">
        <f t="shared" si="63"/>
        <v>0</v>
      </c>
      <c r="AE167" s="199">
        <f t="shared" si="64"/>
        <v>0</v>
      </c>
      <c r="AF167" s="199">
        <v>0</v>
      </c>
      <c r="AG167" s="199">
        <v>0</v>
      </c>
      <c r="AH167" s="199">
        <v>0</v>
      </c>
      <c r="AI167" s="199">
        <v>0</v>
      </c>
      <c r="AJ167" s="199">
        <v>0</v>
      </c>
      <c r="AK167" s="199">
        <f t="shared" si="65"/>
        <v>0</v>
      </c>
    </row>
    <row r="168" spans="1:37" s="201" customFormat="1" ht="15" customHeight="1" x14ac:dyDescent="0.25">
      <c r="A168" s="199" t="s">
        <v>1299</v>
      </c>
      <c r="B168" s="199" t="s">
        <v>1300</v>
      </c>
      <c r="C168" s="199" t="s">
        <v>776</v>
      </c>
      <c r="D168" s="199" t="s">
        <v>997</v>
      </c>
      <c r="E168" s="199" t="s">
        <v>998</v>
      </c>
      <c r="F168" s="199" t="s">
        <v>1301</v>
      </c>
      <c r="G168" s="200">
        <v>46279</v>
      </c>
      <c r="H168" s="199" t="s">
        <v>1000</v>
      </c>
      <c r="I168" s="199" t="s">
        <v>1302</v>
      </c>
      <c r="J168" s="199" t="s">
        <v>1303</v>
      </c>
      <c r="K168" s="199" t="s">
        <v>15</v>
      </c>
      <c r="L168" s="199">
        <v>12</v>
      </c>
      <c r="M168" s="200">
        <v>46320</v>
      </c>
      <c r="N168" s="199">
        <v>12</v>
      </c>
      <c r="O168" s="199">
        <v>12</v>
      </c>
      <c r="P168" s="199">
        <v>12</v>
      </c>
      <c r="Q168" s="199">
        <v>12</v>
      </c>
      <c r="R168" s="199">
        <v>12</v>
      </c>
      <c r="S168" s="199">
        <v>12</v>
      </c>
      <c r="T168" s="199">
        <v>12</v>
      </c>
      <c r="U168" s="199">
        <f t="shared" si="55"/>
        <v>0</v>
      </c>
      <c r="V168" s="199">
        <v>12</v>
      </c>
      <c r="W168" s="199">
        <f t="shared" si="56"/>
        <v>0</v>
      </c>
      <c r="X168" s="199">
        <f t="shared" si="57"/>
        <v>0</v>
      </c>
      <c r="Y168" s="199">
        <f t="shared" si="58"/>
        <v>0</v>
      </c>
      <c r="Z168" s="199">
        <f t="shared" si="59"/>
        <v>0</v>
      </c>
      <c r="AA168" s="199">
        <f t="shared" si="60"/>
        <v>0</v>
      </c>
      <c r="AB168" s="199">
        <f t="shared" si="61"/>
        <v>0</v>
      </c>
      <c r="AC168" s="199">
        <f t="shared" si="62"/>
        <v>0</v>
      </c>
      <c r="AD168" s="199">
        <f t="shared" si="63"/>
        <v>0</v>
      </c>
      <c r="AE168" s="199">
        <f t="shared" si="64"/>
        <v>0</v>
      </c>
      <c r="AF168" s="199">
        <v>0</v>
      </c>
      <c r="AG168" s="199">
        <v>0</v>
      </c>
      <c r="AH168" s="199">
        <v>0</v>
      </c>
      <c r="AI168" s="199">
        <v>0</v>
      </c>
      <c r="AJ168" s="199">
        <v>0</v>
      </c>
      <c r="AK168" s="199">
        <f t="shared" si="65"/>
        <v>0</v>
      </c>
    </row>
    <row r="169" spans="1:37" s="201" customFormat="1" ht="15" customHeight="1" x14ac:dyDescent="0.25">
      <c r="A169" s="199" t="s">
        <v>1299</v>
      </c>
      <c r="B169" s="199" t="s">
        <v>1300</v>
      </c>
      <c r="C169" s="199" t="s">
        <v>776</v>
      </c>
      <c r="D169" s="199" t="s">
        <v>997</v>
      </c>
      <c r="E169" s="199" t="s">
        <v>998</v>
      </c>
      <c r="F169" s="199" t="s">
        <v>1301</v>
      </c>
      <c r="G169" s="200">
        <v>46279</v>
      </c>
      <c r="H169" s="199" t="s">
        <v>1000</v>
      </c>
      <c r="I169" s="199" t="s">
        <v>1120</v>
      </c>
      <c r="J169" s="199" t="s">
        <v>1121</v>
      </c>
      <c r="K169" s="199" t="s">
        <v>15</v>
      </c>
      <c r="L169" s="199">
        <v>20</v>
      </c>
      <c r="M169" s="200">
        <v>46320</v>
      </c>
      <c r="N169" s="199">
        <v>20</v>
      </c>
      <c r="O169" s="199">
        <v>20</v>
      </c>
      <c r="P169" s="199">
        <v>20</v>
      </c>
      <c r="Q169" s="199">
        <v>20</v>
      </c>
      <c r="R169" s="199">
        <v>20</v>
      </c>
      <c r="S169" s="199">
        <v>20</v>
      </c>
      <c r="T169" s="199">
        <v>20</v>
      </c>
      <c r="U169" s="199">
        <f t="shared" si="55"/>
        <v>0</v>
      </c>
      <c r="V169" s="199">
        <v>20</v>
      </c>
      <c r="W169" s="199">
        <f t="shared" si="56"/>
        <v>0</v>
      </c>
      <c r="X169" s="199">
        <f t="shared" si="57"/>
        <v>0</v>
      </c>
      <c r="Y169" s="199">
        <f t="shared" si="58"/>
        <v>0</v>
      </c>
      <c r="Z169" s="199">
        <f t="shared" si="59"/>
        <v>0</v>
      </c>
      <c r="AA169" s="199">
        <f t="shared" si="60"/>
        <v>0</v>
      </c>
      <c r="AB169" s="199">
        <f t="shared" si="61"/>
        <v>0</v>
      </c>
      <c r="AC169" s="199">
        <f t="shared" si="62"/>
        <v>0</v>
      </c>
      <c r="AD169" s="199">
        <f t="shared" si="63"/>
        <v>0</v>
      </c>
      <c r="AE169" s="199">
        <f t="shared" si="64"/>
        <v>0</v>
      </c>
      <c r="AF169" s="199">
        <v>0</v>
      </c>
      <c r="AG169" s="199">
        <v>0</v>
      </c>
      <c r="AH169" s="199">
        <v>0</v>
      </c>
      <c r="AI169" s="199">
        <v>0</v>
      </c>
      <c r="AJ169" s="199">
        <v>0</v>
      </c>
      <c r="AK169" s="199">
        <f t="shared" si="65"/>
        <v>0</v>
      </c>
    </row>
    <row r="170" spans="1:37" s="201" customFormat="1" ht="15" customHeight="1" x14ac:dyDescent="0.25">
      <c r="A170" s="199" t="s">
        <v>1299</v>
      </c>
      <c r="B170" s="199" t="s">
        <v>1300</v>
      </c>
      <c r="C170" s="199" t="s">
        <v>776</v>
      </c>
      <c r="D170" s="199" t="s">
        <v>997</v>
      </c>
      <c r="E170" s="199" t="s">
        <v>998</v>
      </c>
      <c r="F170" s="199" t="s">
        <v>1301</v>
      </c>
      <c r="G170" s="200">
        <v>46279</v>
      </c>
      <c r="H170" s="199" t="s">
        <v>1000</v>
      </c>
      <c r="I170" s="199" t="s">
        <v>1067</v>
      </c>
      <c r="J170" s="199" t="s">
        <v>1125</v>
      </c>
      <c r="K170" s="199" t="s">
        <v>13</v>
      </c>
      <c r="L170" s="199">
        <v>5</v>
      </c>
      <c r="M170" s="200">
        <v>46320</v>
      </c>
      <c r="N170" s="199">
        <v>5</v>
      </c>
      <c r="O170" s="199">
        <v>5</v>
      </c>
      <c r="P170" s="199">
        <v>5</v>
      </c>
      <c r="Q170" s="199">
        <v>5</v>
      </c>
      <c r="R170" s="199">
        <v>5</v>
      </c>
      <c r="S170" s="199">
        <v>5</v>
      </c>
      <c r="T170" s="199">
        <v>5</v>
      </c>
      <c r="U170" s="199">
        <f t="shared" si="55"/>
        <v>0</v>
      </c>
      <c r="V170" s="199">
        <v>5</v>
      </c>
      <c r="W170" s="199">
        <f t="shared" si="56"/>
        <v>0</v>
      </c>
      <c r="X170" s="199">
        <f t="shared" si="57"/>
        <v>0</v>
      </c>
      <c r="Y170" s="199">
        <f t="shared" si="58"/>
        <v>0</v>
      </c>
      <c r="Z170" s="199">
        <f t="shared" si="59"/>
        <v>0</v>
      </c>
      <c r="AA170" s="199">
        <f t="shared" si="60"/>
        <v>0</v>
      </c>
      <c r="AB170" s="199">
        <f t="shared" si="61"/>
        <v>0</v>
      </c>
      <c r="AC170" s="199">
        <f t="shared" si="62"/>
        <v>0</v>
      </c>
      <c r="AD170" s="199">
        <f t="shared" si="63"/>
        <v>0</v>
      </c>
      <c r="AE170" s="199">
        <f t="shared" si="64"/>
        <v>0</v>
      </c>
      <c r="AF170" s="199">
        <v>0</v>
      </c>
      <c r="AG170" s="199">
        <v>0</v>
      </c>
      <c r="AH170" s="199">
        <v>0</v>
      </c>
      <c r="AI170" s="199">
        <v>0</v>
      </c>
      <c r="AJ170" s="199">
        <v>0</v>
      </c>
      <c r="AK170" s="199">
        <f t="shared" si="65"/>
        <v>0</v>
      </c>
    </row>
    <row r="171" spans="1:37" s="201" customFormat="1" ht="15" customHeight="1" x14ac:dyDescent="0.25">
      <c r="A171" s="199" t="s">
        <v>1299</v>
      </c>
      <c r="B171" s="199" t="s">
        <v>1300</v>
      </c>
      <c r="C171" s="199" t="s">
        <v>776</v>
      </c>
      <c r="D171" s="199" t="s">
        <v>997</v>
      </c>
      <c r="E171" s="199" t="s">
        <v>998</v>
      </c>
      <c r="F171" s="199" t="s">
        <v>1301</v>
      </c>
      <c r="G171" s="200">
        <v>46279</v>
      </c>
      <c r="H171" s="199" t="s">
        <v>1000</v>
      </c>
      <c r="I171" s="199" t="s">
        <v>1123</v>
      </c>
      <c r="J171" s="199" t="s">
        <v>1124</v>
      </c>
      <c r="K171" s="199" t="s">
        <v>13</v>
      </c>
      <c r="L171" s="199">
        <v>5</v>
      </c>
      <c r="M171" s="200">
        <v>46320</v>
      </c>
      <c r="N171" s="199">
        <v>5</v>
      </c>
      <c r="O171" s="199">
        <v>5</v>
      </c>
      <c r="P171" s="199">
        <v>5</v>
      </c>
      <c r="Q171" s="199">
        <v>5</v>
      </c>
      <c r="R171" s="199">
        <v>5</v>
      </c>
      <c r="S171" s="199">
        <v>5</v>
      </c>
      <c r="T171" s="199">
        <v>5</v>
      </c>
      <c r="U171" s="199">
        <f t="shared" si="55"/>
        <v>0</v>
      </c>
      <c r="V171" s="199">
        <v>5</v>
      </c>
      <c r="W171" s="199">
        <f t="shared" si="56"/>
        <v>0</v>
      </c>
      <c r="X171" s="199">
        <f t="shared" si="57"/>
        <v>0</v>
      </c>
      <c r="Y171" s="199">
        <f t="shared" si="58"/>
        <v>0</v>
      </c>
      <c r="Z171" s="199">
        <f t="shared" si="59"/>
        <v>0</v>
      </c>
      <c r="AA171" s="199">
        <f t="shared" si="60"/>
        <v>0</v>
      </c>
      <c r="AB171" s="199">
        <f t="shared" si="61"/>
        <v>0</v>
      </c>
      <c r="AC171" s="199">
        <f t="shared" si="62"/>
        <v>0</v>
      </c>
      <c r="AD171" s="199">
        <f t="shared" si="63"/>
        <v>0</v>
      </c>
      <c r="AE171" s="199">
        <f t="shared" si="64"/>
        <v>0</v>
      </c>
      <c r="AF171" s="199">
        <v>0</v>
      </c>
      <c r="AG171" s="199">
        <v>0</v>
      </c>
      <c r="AH171" s="199">
        <v>0</v>
      </c>
      <c r="AI171" s="199">
        <v>0</v>
      </c>
      <c r="AJ171" s="199">
        <v>0</v>
      </c>
      <c r="AK171" s="199">
        <f t="shared" si="65"/>
        <v>0</v>
      </c>
    </row>
    <row r="172" spans="1:37" s="201" customFormat="1" ht="15" customHeight="1" x14ac:dyDescent="0.25">
      <c r="A172" s="199" t="s">
        <v>1299</v>
      </c>
      <c r="B172" s="199" t="s">
        <v>1300</v>
      </c>
      <c r="C172" s="199" t="s">
        <v>776</v>
      </c>
      <c r="D172" s="199" t="s">
        <v>997</v>
      </c>
      <c r="E172" s="199" t="s">
        <v>998</v>
      </c>
      <c r="F172" s="199" t="s">
        <v>1301</v>
      </c>
      <c r="G172" s="200">
        <v>46279</v>
      </c>
      <c r="H172" s="199" t="s">
        <v>1000</v>
      </c>
      <c r="I172" s="199" t="s">
        <v>1065</v>
      </c>
      <c r="J172" s="199" t="s">
        <v>1256</v>
      </c>
      <c r="K172" s="199" t="s">
        <v>13</v>
      </c>
      <c r="L172" s="199">
        <v>5</v>
      </c>
      <c r="M172" s="200">
        <v>46320</v>
      </c>
      <c r="N172" s="199">
        <v>5</v>
      </c>
      <c r="O172" s="199">
        <v>5</v>
      </c>
      <c r="P172" s="199">
        <v>5</v>
      </c>
      <c r="Q172" s="199">
        <v>5</v>
      </c>
      <c r="R172" s="199">
        <v>5</v>
      </c>
      <c r="S172" s="199">
        <v>5</v>
      </c>
      <c r="T172" s="199">
        <v>5</v>
      </c>
      <c r="U172" s="199">
        <f t="shared" si="55"/>
        <v>0</v>
      </c>
      <c r="V172" s="199">
        <v>5</v>
      </c>
      <c r="W172" s="199">
        <f t="shared" si="56"/>
        <v>0</v>
      </c>
      <c r="X172" s="199">
        <f t="shared" si="57"/>
        <v>0</v>
      </c>
      <c r="Y172" s="199">
        <f t="shared" si="58"/>
        <v>0</v>
      </c>
      <c r="Z172" s="199">
        <f t="shared" si="59"/>
        <v>0</v>
      </c>
      <c r="AA172" s="199">
        <f t="shared" si="60"/>
        <v>0</v>
      </c>
      <c r="AB172" s="199">
        <f t="shared" si="61"/>
        <v>0</v>
      </c>
      <c r="AC172" s="199">
        <f t="shared" si="62"/>
        <v>0</v>
      </c>
      <c r="AD172" s="199">
        <f t="shared" si="63"/>
        <v>0</v>
      </c>
      <c r="AE172" s="199">
        <f t="shared" si="64"/>
        <v>0</v>
      </c>
      <c r="AF172" s="199">
        <v>0</v>
      </c>
      <c r="AG172" s="199">
        <v>0</v>
      </c>
      <c r="AH172" s="199">
        <v>0</v>
      </c>
      <c r="AI172" s="199">
        <v>0</v>
      </c>
      <c r="AJ172" s="199">
        <v>0</v>
      </c>
      <c r="AK172" s="199">
        <f t="shared" si="65"/>
        <v>0</v>
      </c>
    </row>
    <row r="173" spans="1:37" s="201" customFormat="1" ht="15" customHeight="1" x14ac:dyDescent="0.25">
      <c r="A173" s="199" t="s">
        <v>1299</v>
      </c>
      <c r="B173" s="199" t="s">
        <v>1300</v>
      </c>
      <c r="C173" s="199" t="s">
        <v>776</v>
      </c>
      <c r="D173" s="199" t="s">
        <v>997</v>
      </c>
      <c r="E173" s="199" t="s">
        <v>998</v>
      </c>
      <c r="F173" s="199" t="s">
        <v>1301</v>
      </c>
      <c r="G173" s="200">
        <v>46279</v>
      </c>
      <c r="H173" s="199" t="s">
        <v>1000</v>
      </c>
      <c r="I173" s="199" t="s">
        <v>1118</v>
      </c>
      <c r="J173" s="199" t="s">
        <v>1119</v>
      </c>
      <c r="K173" s="199" t="s">
        <v>13</v>
      </c>
      <c r="L173" s="199">
        <v>10</v>
      </c>
      <c r="M173" s="200">
        <v>46320</v>
      </c>
      <c r="N173" s="199">
        <v>10</v>
      </c>
      <c r="O173" s="199">
        <v>10</v>
      </c>
      <c r="P173" s="199">
        <v>10</v>
      </c>
      <c r="Q173" s="199">
        <v>10</v>
      </c>
      <c r="R173" s="199">
        <v>10</v>
      </c>
      <c r="S173" s="199">
        <v>10</v>
      </c>
      <c r="T173" s="199">
        <v>10</v>
      </c>
      <c r="U173" s="199">
        <f t="shared" si="55"/>
        <v>10</v>
      </c>
      <c r="V173" s="199">
        <v>10</v>
      </c>
      <c r="W173" s="199">
        <f t="shared" si="56"/>
        <v>0</v>
      </c>
      <c r="X173" s="199">
        <f t="shared" si="57"/>
        <v>0</v>
      </c>
      <c r="Y173" s="199">
        <f t="shared" si="58"/>
        <v>0</v>
      </c>
      <c r="Z173" s="199">
        <f t="shared" si="59"/>
        <v>0</v>
      </c>
      <c r="AA173" s="199">
        <f t="shared" si="60"/>
        <v>0</v>
      </c>
      <c r="AB173" s="199">
        <f t="shared" si="61"/>
        <v>0</v>
      </c>
      <c r="AC173" s="199">
        <f t="shared" si="62"/>
        <v>1</v>
      </c>
      <c r="AD173" s="199">
        <f t="shared" si="63"/>
        <v>1</v>
      </c>
      <c r="AE173" s="199">
        <f t="shared" si="64"/>
        <v>1</v>
      </c>
      <c r="AF173" s="199">
        <v>0</v>
      </c>
      <c r="AG173" s="199">
        <v>0</v>
      </c>
      <c r="AH173" s="199">
        <v>0</v>
      </c>
      <c r="AI173" s="199">
        <v>0</v>
      </c>
      <c r="AJ173" s="199">
        <v>0</v>
      </c>
      <c r="AK173" s="199">
        <f t="shared" si="65"/>
        <v>0</v>
      </c>
    </row>
    <row r="174" spans="1:37" s="201" customFormat="1" ht="15" customHeight="1" x14ac:dyDescent="0.25">
      <c r="A174" s="199" t="s">
        <v>1299</v>
      </c>
      <c r="B174" s="199" t="s">
        <v>1300</v>
      </c>
      <c r="C174" s="199" t="s">
        <v>776</v>
      </c>
      <c r="D174" s="199" t="s">
        <v>997</v>
      </c>
      <c r="E174" s="199" t="s">
        <v>998</v>
      </c>
      <c r="F174" s="199" t="s">
        <v>1301</v>
      </c>
      <c r="G174" s="200">
        <v>46279</v>
      </c>
      <c r="H174" s="199" t="s">
        <v>1000</v>
      </c>
      <c r="I174" s="199" t="s">
        <v>1304</v>
      </c>
      <c r="J174" s="199" t="s">
        <v>1305</v>
      </c>
      <c r="K174" s="199" t="s">
        <v>15</v>
      </c>
      <c r="L174" s="199">
        <v>5</v>
      </c>
      <c r="M174" s="200">
        <v>46320</v>
      </c>
      <c r="N174" s="199">
        <v>5</v>
      </c>
      <c r="O174" s="199">
        <v>5</v>
      </c>
      <c r="P174" s="199">
        <v>5</v>
      </c>
      <c r="Q174" s="199">
        <v>5</v>
      </c>
      <c r="R174" s="199">
        <v>5</v>
      </c>
      <c r="S174" s="199">
        <v>5</v>
      </c>
      <c r="T174" s="199">
        <v>5</v>
      </c>
      <c r="U174" s="199">
        <f t="shared" si="55"/>
        <v>5</v>
      </c>
      <c r="V174" s="199">
        <v>5</v>
      </c>
      <c r="W174" s="199">
        <f t="shared" si="56"/>
        <v>0</v>
      </c>
      <c r="X174" s="199">
        <f t="shared" si="57"/>
        <v>0</v>
      </c>
      <c r="Y174" s="199">
        <f t="shared" si="58"/>
        <v>0</v>
      </c>
      <c r="Z174" s="199">
        <f t="shared" si="59"/>
        <v>0</v>
      </c>
      <c r="AA174" s="199">
        <f t="shared" si="60"/>
        <v>0</v>
      </c>
      <c r="AB174" s="199">
        <f t="shared" si="61"/>
        <v>1</v>
      </c>
      <c r="AC174" s="199">
        <f t="shared" si="62"/>
        <v>0</v>
      </c>
      <c r="AD174" s="199">
        <f t="shared" si="63"/>
        <v>1</v>
      </c>
      <c r="AE174" s="199">
        <f t="shared" si="64"/>
        <v>1</v>
      </c>
      <c r="AF174" s="199">
        <v>0</v>
      </c>
      <c r="AG174" s="199">
        <v>0</v>
      </c>
      <c r="AH174" s="199">
        <v>0</v>
      </c>
      <c r="AI174" s="199">
        <v>0</v>
      </c>
      <c r="AJ174" s="199">
        <v>0</v>
      </c>
      <c r="AK174" s="199">
        <f t="shared" si="65"/>
        <v>0</v>
      </c>
    </row>
    <row r="175" spans="1:37" s="201" customFormat="1" ht="15" customHeight="1" x14ac:dyDescent="0.25">
      <c r="A175" s="199" t="s">
        <v>1299</v>
      </c>
      <c r="B175" s="199" t="s">
        <v>1306</v>
      </c>
      <c r="C175" s="199" t="s">
        <v>776</v>
      </c>
      <c r="D175" s="199" t="s">
        <v>997</v>
      </c>
      <c r="E175" s="199" t="s">
        <v>998</v>
      </c>
      <c r="F175" s="199" t="s">
        <v>1307</v>
      </c>
      <c r="G175" s="200">
        <v>46279</v>
      </c>
      <c r="H175" s="199" t="s">
        <v>1000</v>
      </c>
      <c r="I175" s="199" t="s">
        <v>1302</v>
      </c>
      <c r="J175" s="199" t="s">
        <v>1303</v>
      </c>
      <c r="K175" s="199" t="s">
        <v>15</v>
      </c>
      <c r="L175" s="199">
        <v>8</v>
      </c>
      <c r="M175" s="200">
        <v>46325</v>
      </c>
      <c r="N175" s="199">
        <v>8</v>
      </c>
      <c r="O175" s="199">
        <v>8</v>
      </c>
      <c r="P175" s="199">
        <v>8</v>
      </c>
      <c r="Q175" s="199">
        <v>8</v>
      </c>
      <c r="R175" s="199">
        <v>8</v>
      </c>
      <c r="S175" s="199">
        <v>8</v>
      </c>
      <c r="T175" s="199">
        <v>8</v>
      </c>
      <c r="U175" s="199">
        <f t="shared" si="55"/>
        <v>8</v>
      </c>
      <c r="V175" s="199">
        <v>8</v>
      </c>
      <c r="W175" s="199">
        <f t="shared" si="56"/>
        <v>0</v>
      </c>
      <c r="X175" s="199">
        <f t="shared" si="57"/>
        <v>0</v>
      </c>
      <c r="Y175" s="199">
        <f t="shared" si="58"/>
        <v>0</v>
      </c>
      <c r="Z175" s="199">
        <f t="shared" si="59"/>
        <v>0</v>
      </c>
      <c r="AA175" s="199">
        <f t="shared" si="60"/>
        <v>0</v>
      </c>
      <c r="AB175" s="199">
        <f t="shared" si="61"/>
        <v>0</v>
      </c>
      <c r="AC175" s="199">
        <f t="shared" si="62"/>
        <v>1</v>
      </c>
      <c r="AD175" s="199">
        <f t="shared" si="63"/>
        <v>1</v>
      </c>
      <c r="AE175" s="199">
        <f t="shared" si="64"/>
        <v>1</v>
      </c>
      <c r="AF175" s="199">
        <v>0</v>
      </c>
      <c r="AG175" s="199">
        <v>0</v>
      </c>
      <c r="AH175" s="199">
        <v>0</v>
      </c>
      <c r="AI175" s="199">
        <v>0</v>
      </c>
      <c r="AJ175" s="199">
        <v>0</v>
      </c>
      <c r="AK175" s="199">
        <f t="shared" si="65"/>
        <v>0</v>
      </c>
    </row>
    <row r="176" spans="1:37" s="201" customFormat="1" ht="15" customHeight="1" x14ac:dyDescent="0.25">
      <c r="A176" s="199" t="s">
        <v>1299</v>
      </c>
      <c r="B176" s="199" t="s">
        <v>1306</v>
      </c>
      <c r="C176" s="199" t="s">
        <v>776</v>
      </c>
      <c r="D176" s="199" t="s">
        <v>997</v>
      </c>
      <c r="E176" s="199" t="s">
        <v>998</v>
      </c>
      <c r="F176" s="199" t="s">
        <v>1307</v>
      </c>
      <c r="G176" s="200">
        <v>46279</v>
      </c>
      <c r="H176" s="199" t="s">
        <v>1000</v>
      </c>
      <c r="I176" s="199" t="s">
        <v>1067</v>
      </c>
      <c r="J176" s="199" t="s">
        <v>1125</v>
      </c>
      <c r="K176" s="199" t="s">
        <v>13</v>
      </c>
      <c r="L176" s="199">
        <v>5</v>
      </c>
      <c r="M176" s="200">
        <v>46325</v>
      </c>
      <c r="N176" s="199">
        <v>5</v>
      </c>
      <c r="O176" s="199">
        <v>5</v>
      </c>
      <c r="P176" s="199">
        <v>5</v>
      </c>
      <c r="Q176" s="199">
        <v>5</v>
      </c>
      <c r="R176" s="199">
        <v>5</v>
      </c>
      <c r="S176" s="199">
        <v>5</v>
      </c>
      <c r="T176" s="199">
        <v>5</v>
      </c>
      <c r="U176" s="199">
        <f t="shared" si="55"/>
        <v>0</v>
      </c>
      <c r="V176" s="199">
        <v>5</v>
      </c>
      <c r="W176" s="199">
        <f t="shared" si="56"/>
        <v>0</v>
      </c>
      <c r="X176" s="199">
        <f t="shared" si="57"/>
        <v>0</v>
      </c>
      <c r="Y176" s="199">
        <f t="shared" si="58"/>
        <v>0</v>
      </c>
      <c r="Z176" s="199">
        <f t="shared" si="59"/>
        <v>0</v>
      </c>
      <c r="AA176" s="199">
        <f t="shared" si="60"/>
        <v>0</v>
      </c>
      <c r="AB176" s="199">
        <f t="shared" si="61"/>
        <v>0</v>
      </c>
      <c r="AC176" s="199">
        <f t="shared" si="62"/>
        <v>0</v>
      </c>
      <c r="AD176" s="199">
        <f t="shared" si="63"/>
        <v>0</v>
      </c>
      <c r="AE176" s="199">
        <f t="shared" si="64"/>
        <v>0</v>
      </c>
      <c r="AF176" s="199">
        <v>0</v>
      </c>
      <c r="AG176" s="199">
        <v>0</v>
      </c>
      <c r="AH176" s="199">
        <v>0</v>
      </c>
      <c r="AI176" s="199">
        <v>0</v>
      </c>
      <c r="AJ176" s="199">
        <v>0</v>
      </c>
      <c r="AK176" s="199">
        <f t="shared" si="65"/>
        <v>0</v>
      </c>
    </row>
    <row r="177" spans="1:37" s="201" customFormat="1" ht="15" customHeight="1" x14ac:dyDescent="0.25">
      <c r="A177" s="199" t="s">
        <v>1299</v>
      </c>
      <c r="B177" s="199" t="s">
        <v>1306</v>
      </c>
      <c r="C177" s="199" t="s">
        <v>776</v>
      </c>
      <c r="D177" s="199" t="s">
        <v>997</v>
      </c>
      <c r="E177" s="199" t="s">
        <v>998</v>
      </c>
      <c r="F177" s="199" t="s">
        <v>1307</v>
      </c>
      <c r="G177" s="200">
        <v>46279</v>
      </c>
      <c r="H177" s="199" t="s">
        <v>1000</v>
      </c>
      <c r="I177" s="199" t="s">
        <v>1123</v>
      </c>
      <c r="J177" s="199" t="s">
        <v>1124</v>
      </c>
      <c r="K177" s="199" t="s">
        <v>13</v>
      </c>
      <c r="L177" s="199">
        <v>5</v>
      </c>
      <c r="M177" s="200">
        <v>46325</v>
      </c>
      <c r="N177" s="199">
        <v>5</v>
      </c>
      <c r="O177" s="199">
        <v>5</v>
      </c>
      <c r="P177" s="199">
        <v>5</v>
      </c>
      <c r="Q177" s="199">
        <v>5</v>
      </c>
      <c r="R177" s="199">
        <v>5</v>
      </c>
      <c r="S177" s="199">
        <v>5</v>
      </c>
      <c r="T177" s="199">
        <v>5</v>
      </c>
      <c r="U177" s="199">
        <f t="shared" si="55"/>
        <v>0</v>
      </c>
      <c r="V177" s="199">
        <v>5</v>
      </c>
      <c r="W177" s="199">
        <f t="shared" si="56"/>
        <v>0</v>
      </c>
      <c r="X177" s="199">
        <f t="shared" si="57"/>
        <v>0</v>
      </c>
      <c r="Y177" s="199">
        <f t="shared" si="58"/>
        <v>0</v>
      </c>
      <c r="Z177" s="199">
        <f t="shared" si="59"/>
        <v>0</v>
      </c>
      <c r="AA177" s="199">
        <f t="shared" si="60"/>
        <v>0</v>
      </c>
      <c r="AB177" s="199">
        <f t="shared" si="61"/>
        <v>0</v>
      </c>
      <c r="AC177" s="199">
        <f t="shared" si="62"/>
        <v>0</v>
      </c>
      <c r="AD177" s="199">
        <f t="shared" si="63"/>
        <v>0</v>
      </c>
      <c r="AE177" s="199">
        <f t="shared" si="64"/>
        <v>0</v>
      </c>
      <c r="AF177" s="199">
        <v>0</v>
      </c>
      <c r="AG177" s="199">
        <v>0</v>
      </c>
      <c r="AH177" s="199">
        <v>0</v>
      </c>
      <c r="AI177" s="199">
        <v>0</v>
      </c>
      <c r="AJ177" s="199">
        <v>0</v>
      </c>
      <c r="AK177" s="199">
        <f t="shared" si="65"/>
        <v>0</v>
      </c>
    </row>
    <row r="178" spans="1:37" s="201" customFormat="1" ht="15" customHeight="1" x14ac:dyDescent="0.25">
      <c r="A178" s="199" t="s">
        <v>1299</v>
      </c>
      <c r="B178" s="199" t="s">
        <v>1306</v>
      </c>
      <c r="C178" s="199" t="s">
        <v>776</v>
      </c>
      <c r="D178" s="199" t="s">
        <v>997</v>
      </c>
      <c r="E178" s="199" t="s">
        <v>998</v>
      </c>
      <c r="F178" s="199" t="s">
        <v>1307</v>
      </c>
      <c r="G178" s="200">
        <v>46279</v>
      </c>
      <c r="H178" s="199" t="s">
        <v>1000</v>
      </c>
      <c r="I178" s="199" t="s">
        <v>1065</v>
      </c>
      <c r="J178" s="199" t="s">
        <v>1256</v>
      </c>
      <c r="K178" s="199" t="s">
        <v>13</v>
      </c>
      <c r="L178" s="199">
        <v>5</v>
      </c>
      <c r="M178" s="200">
        <v>46325</v>
      </c>
      <c r="N178" s="199">
        <v>5</v>
      </c>
      <c r="O178" s="199">
        <v>5</v>
      </c>
      <c r="P178" s="199">
        <v>5</v>
      </c>
      <c r="Q178" s="199">
        <v>5</v>
      </c>
      <c r="R178" s="199">
        <v>5</v>
      </c>
      <c r="S178" s="199">
        <v>5</v>
      </c>
      <c r="T178" s="199">
        <v>5</v>
      </c>
      <c r="U178" s="199">
        <f t="shared" si="55"/>
        <v>0</v>
      </c>
      <c r="V178" s="199">
        <v>5</v>
      </c>
      <c r="W178" s="199">
        <f t="shared" si="56"/>
        <v>0</v>
      </c>
      <c r="X178" s="199">
        <f t="shared" si="57"/>
        <v>0</v>
      </c>
      <c r="Y178" s="199">
        <f t="shared" si="58"/>
        <v>0</v>
      </c>
      <c r="Z178" s="199">
        <f t="shared" si="59"/>
        <v>0</v>
      </c>
      <c r="AA178" s="199">
        <f t="shared" si="60"/>
        <v>0</v>
      </c>
      <c r="AB178" s="199">
        <f t="shared" si="61"/>
        <v>0</v>
      </c>
      <c r="AC178" s="199">
        <f t="shared" si="62"/>
        <v>0</v>
      </c>
      <c r="AD178" s="199">
        <f t="shared" si="63"/>
        <v>0</v>
      </c>
      <c r="AE178" s="199">
        <f t="shared" si="64"/>
        <v>0</v>
      </c>
      <c r="AF178" s="199">
        <v>0</v>
      </c>
      <c r="AG178" s="199">
        <v>0</v>
      </c>
      <c r="AH178" s="199">
        <v>0</v>
      </c>
      <c r="AI178" s="199">
        <v>0</v>
      </c>
      <c r="AJ178" s="199">
        <v>0</v>
      </c>
      <c r="AK178" s="199">
        <f t="shared" si="65"/>
        <v>0</v>
      </c>
    </row>
    <row r="179" spans="1:37" s="201" customFormat="1" ht="15" customHeight="1" x14ac:dyDescent="0.25">
      <c r="A179" s="199" t="s">
        <v>1299</v>
      </c>
      <c r="B179" s="199" t="s">
        <v>1306</v>
      </c>
      <c r="C179" s="199" t="s">
        <v>776</v>
      </c>
      <c r="D179" s="199" t="s">
        <v>997</v>
      </c>
      <c r="E179" s="199" t="s">
        <v>998</v>
      </c>
      <c r="F179" s="199" t="s">
        <v>1307</v>
      </c>
      <c r="G179" s="200">
        <v>46279</v>
      </c>
      <c r="H179" s="199" t="s">
        <v>1000</v>
      </c>
      <c r="I179" s="199" t="s">
        <v>1118</v>
      </c>
      <c r="J179" s="199" t="s">
        <v>1119</v>
      </c>
      <c r="K179" s="199" t="s">
        <v>13</v>
      </c>
      <c r="L179" s="199">
        <v>10</v>
      </c>
      <c r="M179" s="200">
        <v>46325</v>
      </c>
      <c r="N179" s="199">
        <v>10</v>
      </c>
      <c r="O179" s="199">
        <v>10</v>
      </c>
      <c r="P179" s="199">
        <v>10</v>
      </c>
      <c r="Q179" s="199">
        <v>10</v>
      </c>
      <c r="R179" s="199">
        <v>10</v>
      </c>
      <c r="S179" s="199">
        <v>10</v>
      </c>
      <c r="T179" s="199">
        <v>0</v>
      </c>
      <c r="U179" s="199">
        <f t="shared" si="55"/>
        <v>10</v>
      </c>
      <c r="V179" s="199">
        <v>0</v>
      </c>
      <c r="W179" s="199">
        <f t="shared" si="56"/>
        <v>0</v>
      </c>
      <c r="X179" s="199">
        <f t="shared" si="57"/>
        <v>0</v>
      </c>
      <c r="Y179" s="199">
        <f t="shared" si="58"/>
        <v>0</v>
      </c>
      <c r="Z179" s="199">
        <f t="shared" si="59"/>
        <v>0</v>
      </c>
      <c r="AA179" s="199">
        <f t="shared" si="60"/>
        <v>0</v>
      </c>
      <c r="AB179" s="199">
        <f t="shared" si="61"/>
        <v>0</v>
      </c>
      <c r="AC179" s="199">
        <f t="shared" si="62"/>
        <v>1</v>
      </c>
      <c r="AD179" s="199">
        <f t="shared" si="63"/>
        <v>1</v>
      </c>
      <c r="AE179" s="199">
        <f t="shared" si="64"/>
        <v>1</v>
      </c>
      <c r="AF179" s="199">
        <v>1</v>
      </c>
      <c r="AG179" s="199">
        <v>0</v>
      </c>
      <c r="AH179" s="199">
        <v>0</v>
      </c>
      <c r="AI179" s="199">
        <v>0</v>
      </c>
      <c r="AJ179" s="199">
        <v>1</v>
      </c>
      <c r="AK179" s="199">
        <f t="shared" si="65"/>
        <v>0</v>
      </c>
    </row>
    <row r="180" spans="1:37" s="201" customFormat="1" ht="15" customHeight="1" x14ac:dyDescent="0.25">
      <c r="A180" s="199" t="s">
        <v>1299</v>
      </c>
      <c r="B180" s="199" t="s">
        <v>1306</v>
      </c>
      <c r="C180" s="199" t="s">
        <v>776</v>
      </c>
      <c r="D180" s="199" t="s">
        <v>997</v>
      </c>
      <c r="E180" s="199" t="s">
        <v>998</v>
      </c>
      <c r="F180" s="199" t="s">
        <v>1307</v>
      </c>
      <c r="G180" s="200">
        <v>46279</v>
      </c>
      <c r="H180" s="199" t="s">
        <v>1000</v>
      </c>
      <c r="I180" s="199" t="s">
        <v>1304</v>
      </c>
      <c r="J180" s="199" t="s">
        <v>1305</v>
      </c>
      <c r="K180" s="199" t="s">
        <v>15</v>
      </c>
      <c r="L180" s="199">
        <v>5</v>
      </c>
      <c r="M180" s="200">
        <v>46325</v>
      </c>
      <c r="N180" s="199">
        <v>5</v>
      </c>
      <c r="O180" s="199">
        <v>5</v>
      </c>
      <c r="P180" s="199">
        <v>5</v>
      </c>
      <c r="Q180" s="199">
        <v>5</v>
      </c>
      <c r="R180" s="199">
        <v>5</v>
      </c>
      <c r="S180" s="199">
        <v>5</v>
      </c>
      <c r="T180" s="199">
        <v>5</v>
      </c>
      <c r="U180" s="199">
        <f t="shared" si="55"/>
        <v>5</v>
      </c>
      <c r="V180" s="199">
        <v>5</v>
      </c>
      <c r="W180" s="199">
        <f t="shared" si="56"/>
        <v>0</v>
      </c>
      <c r="X180" s="199">
        <f t="shared" si="57"/>
        <v>0</v>
      </c>
      <c r="Y180" s="199">
        <f t="shared" si="58"/>
        <v>0</v>
      </c>
      <c r="Z180" s="199">
        <f t="shared" si="59"/>
        <v>0</v>
      </c>
      <c r="AA180" s="199">
        <f t="shared" si="60"/>
        <v>0</v>
      </c>
      <c r="AB180" s="199">
        <f t="shared" si="61"/>
        <v>1</v>
      </c>
      <c r="AC180" s="199">
        <f t="shared" si="62"/>
        <v>0</v>
      </c>
      <c r="AD180" s="199">
        <f t="shared" si="63"/>
        <v>1</v>
      </c>
      <c r="AE180" s="199">
        <f t="shared" si="64"/>
        <v>1</v>
      </c>
      <c r="AF180" s="199">
        <v>0</v>
      </c>
      <c r="AG180" s="199">
        <v>0</v>
      </c>
      <c r="AH180" s="199">
        <v>0</v>
      </c>
      <c r="AI180" s="199">
        <v>0</v>
      </c>
      <c r="AJ180" s="199">
        <v>0</v>
      </c>
      <c r="AK180" s="199">
        <f t="shared" si="65"/>
        <v>0</v>
      </c>
    </row>
    <row r="181" spans="1:37" s="201" customFormat="1" ht="15" customHeight="1" x14ac:dyDescent="0.25">
      <c r="A181" s="199" t="s">
        <v>1308</v>
      </c>
      <c r="B181" s="199" t="s">
        <v>691</v>
      </c>
      <c r="C181" s="199" t="s">
        <v>692</v>
      </c>
      <c r="D181" s="199" t="s">
        <v>1160</v>
      </c>
      <c r="E181" s="199" t="s">
        <v>998</v>
      </c>
      <c r="F181" s="199" t="s">
        <v>1309</v>
      </c>
      <c r="G181" s="200">
        <v>46287</v>
      </c>
      <c r="H181" s="199" t="s">
        <v>1000</v>
      </c>
      <c r="I181" s="199" t="s">
        <v>1310</v>
      </c>
      <c r="J181" s="199" t="s">
        <v>1311</v>
      </c>
      <c r="K181" s="199" t="s">
        <v>13</v>
      </c>
      <c r="L181" s="199">
        <v>10</v>
      </c>
      <c r="M181" s="200">
        <v>46333</v>
      </c>
      <c r="N181" s="199">
        <v>10</v>
      </c>
      <c r="O181" s="199">
        <v>10</v>
      </c>
      <c r="P181" s="199">
        <v>10</v>
      </c>
      <c r="Q181" s="199">
        <v>10</v>
      </c>
      <c r="R181" s="199">
        <v>10</v>
      </c>
      <c r="S181" s="199">
        <v>10</v>
      </c>
      <c r="T181" s="199">
        <v>10</v>
      </c>
      <c r="U181" s="199">
        <f t="shared" si="55"/>
        <v>0</v>
      </c>
      <c r="V181" s="199">
        <v>10</v>
      </c>
      <c r="W181" s="199">
        <f t="shared" si="56"/>
        <v>0</v>
      </c>
      <c r="X181" s="199">
        <f t="shared" si="57"/>
        <v>0</v>
      </c>
      <c r="Y181" s="199">
        <f t="shared" si="58"/>
        <v>0</v>
      </c>
      <c r="Z181" s="199">
        <f t="shared" si="59"/>
        <v>0</v>
      </c>
      <c r="AA181" s="199">
        <f t="shared" si="60"/>
        <v>0</v>
      </c>
      <c r="AB181" s="199">
        <f t="shared" si="61"/>
        <v>0</v>
      </c>
      <c r="AC181" s="199">
        <f t="shared" si="62"/>
        <v>0</v>
      </c>
      <c r="AD181" s="199">
        <f t="shared" si="63"/>
        <v>0</v>
      </c>
      <c r="AE181" s="199">
        <f t="shared" si="64"/>
        <v>0</v>
      </c>
      <c r="AF181" s="199">
        <v>0</v>
      </c>
      <c r="AG181" s="199">
        <v>0</v>
      </c>
      <c r="AH181" s="199">
        <v>0</v>
      </c>
      <c r="AI181" s="199">
        <v>0</v>
      </c>
      <c r="AJ181" s="199">
        <v>0</v>
      </c>
      <c r="AK181" s="199">
        <f t="shared" si="65"/>
        <v>0</v>
      </c>
    </row>
    <row r="182" spans="1:37" s="201" customFormat="1" ht="15" customHeight="1" x14ac:dyDescent="0.25">
      <c r="A182" s="199" t="s">
        <v>1308</v>
      </c>
      <c r="B182" s="199" t="s">
        <v>691</v>
      </c>
      <c r="C182" s="199" t="s">
        <v>692</v>
      </c>
      <c r="D182" s="199" t="s">
        <v>1160</v>
      </c>
      <c r="E182" s="199" t="s">
        <v>998</v>
      </c>
      <c r="F182" s="199" t="s">
        <v>1309</v>
      </c>
      <c r="G182" s="200">
        <v>46287</v>
      </c>
      <c r="H182" s="199" t="s">
        <v>1000</v>
      </c>
      <c r="I182" s="199" t="s">
        <v>1312</v>
      </c>
      <c r="J182" s="199" t="s">
        <v>1313</v>
      </c>
      <c r="K182" s="199" t="s">
        <v>13</v>
      </c>
      <c r="L182" s="199">
        <v>10</v>
      </c>
      <c r="M182" s="200">
        <v>46333</v>
      </c>
      <c r="N182" s="199">
        <v>10</v>
      </c>
      <c r="O182" s="199">
        <v>10</v>
      </c>
      <c r="P182" s="199">
        <v>10</v>
      </c>
      <c r="Q182" s="199">
        <v>10</v>
      </c>
      <c r="R182" s="199">
        <v>10</v>
      </c>
      <c r="S182" s="199">
        <v>10</v>
      </c>
      <c r="T182" s="199">
        <v>5</v>
      </c>
      <c r="U182" s="199">
        <f t="shared" si="55"/>
        <v>10</v>
      </c>
      <c r="V182" s="199">
        <v>5</v>
      </c>
      <c r="W182" s="199">
        <f t="shared" si="56"/>
        <v>0</v>
      </c>
      <c r="X182" s="199">
        <f t="shared" si="57"/>
        <v>0</v>
      </c>
      <c r="Y182" s="199">
        <f t="shared" si="58"/>
        <v>0</v>
      </c>
      <c r="Z182" s="199">
        <f t="shared" si="59"/>
        <v>0</v>
      </c>
      <c r="AA182" s="199">
        <f t="shared" si="60"/>
        <v>0</v>
      </c>
      <c r="AB182" s="199">
        <f t="shared" si="61"/>
        <v>1</v>
      </c>
      <c r="AC182" s="199">
        <f t="shared" si="62"/>
        <v>0</v>
      </c>
      <c r="AD182" s="199">
        <f t="shared" si="63"/>
        <v>1</v>
      </c>
      <c r="AE182" s="199">
        <f t="shared" si="64"/>
        <v>1</v>
      </c>
      <c r="AF182" s="199">
        <v>1</v>
      </c>
      <c r="AG182" s="199">
        <v>0</v>
      </c>
      <c r="AH182" s="199">
        <v>0</v>
      </c>
      <c r="AI182" s="199">
        <v>0</v>
      </c>
      <c r="AJ182" s="199">
        <v>1</v>
      </c>
      <c r="AK182" s="199">
        <f t="shared" si="65"/>
        <v>0</v>
      </c>
    </row>
    <row r="183" spans="1:37" s="201" customFormat="1" ht="15" customHeight="1" x14ac:dyDescent="0.25">
      <c r="A183" s="199" t="s">
        <v>1308</v>
      </c>
      <c r="B183" s="199" t="s">
        <v>691</v>
      </c>
      <c r="C183" s="199" t="s">
        <v>692</v>
      </c>
      <c r="D183" s="199" t="s">
        <v>1160</v>
      </c>
      <c r="E183" s="199" t="s">
        <v>998</v>
      </c>
      <c r="F183" s="199" t="s">
        <v>1309</v>
      </c>
      <c r="G183" s="200">
        <v>46287</v>
      </c>
      <c r="H183" s="199" t="s">
        <v>1000</v>
      </c>
      <c r="I183" s="199" t="s">
        <v>1314</v>
      </c>
      <c r="J183" s="199" t="s">
        <v>1315</v>
      </c>
      <c r="K183" s="199" t="s">
        <v>13</v>
      </c>
      <c r="L183" s="199">
        <v>10</v>
      </c>
      <c r="M183" s="200">
        <v>46333</v>
      </c>
      <c r="N183" s="199">
        <v>10</v>
      </c>
      <c r="O183" s="199">
        <v>10</v>
      </c>
      <c r="P183" s="199">
        <v>10</v>
      </c>
      <c r="Q183" s="199">
        <v>10</v>
      </c>
      <c r="R183" s="199">
        <v>10</v>
      </c>
      <c r="S183" s="199">
        <v>10</v>
      </c>
      <c r="T183" s="199">
        <v>10</v>
      </c>
      <c r="U183" s="199">
        <f t="shared" si="55"/>
        <v>10</v>
      </c>
      <c r="V183" s="199">
        <v>10</v>
      </c>
      <c r="W183" s="199">
        <f t="shared" si="56"/>
        <v>0</v>
      </c>
      <c r="X183" s="199">
        <f t="shared" si="57"/>
        <v>0</v>
      </c>
      <c r="Y183" s="199">
        <f t="shared" si="58"/>
        <v>0</v>
      </c>
      <c r="Z183" s="199">
        <f t="shared" si="59"/>
        <v>0</v>
      </c>
      <c r="AA183" s="199">
        <f t="shared" si="60"/>
        <v>0</v>
      </c>
      <c r="AB183" s="199">
        <f t="shared" si="61"/>
        <v>0</v>
      </c>
      <c r="AC183" s="199">
        <f t="shared" si="62"/>
        <v>1</v>
      </c>
      <c r="AD183" s="199">
        <f t="shared" si="63"/>
        <v>1</v>
      </c>
      <c r="AE183" s="199">
        <f t="shared" si="64"/>
        <v>1</v>
      </c>
      <c r="AF183" s="199">
        <v>0</v>
      </c>
      <c r="AG183" s="199">
        <v>0</v>
      </c>
      <c r="AH183" s="199">
        <v>0</v>
      </c>
      <c r="AI183" s="199">
        <v>0</v>
      </c>
      <c r="AJ183" s="199">
        <v>0</v>
      </c>
      <c r="AK183" s="199">
        <f t="shared" si="65"/>
        <v>0</v>
      </c>
    </row>
    <row r="184" spans="1:37" s="201" customFormat="1" ht="15" customHeight="1" x14ac:dyDescent="0.25">
      <c r="A184" s="199" t="s">
        <v>1308</v>
      </c>
      <c r="B184" s="199" t="s">
        <v>691</v>
      </c>
      <c r="C184" s="199" t="s">
        <v>692</v>
      </c>
      <c r="D184" s="199" t="s">
        <v>1160</v>
      </c>
      <c r="E184" s="199" t="s">
        <v>998</v>
      </c>
      <c r="F184" s="199" t="s">
        <v>1309</v>
      </c>
      <c r="G184" s="200">
        <v>46287</v>
      </c>
      <c r="H184" s="199" t="s">
        <v>1000</v>
      </c>
      <c r="I184" s="199" t="s">
        <v>1118</v>
      </c>
      <c r="J184" s="199" t="s">
        <v>1119</v>
      </c>
      <c r="K184" s="199" t="s">
        <v>13</v>
      </c>
      <c r="L184" s="199">
        <v>10</v>
      </c>
      <c r="M184" s="200">
        <v>46333</v>
      </c>
      <c r="N184" s="199">
        <v>10</v>
      </c>
      <c r="O184" s="199">
        <v>10</v>
      </c>
      <c r="P184" s="199">
        <v>10</v>
      </c>
      <c r="Q184" s="199">
        <v>10</v>
      </c>
      <c r="R184" s="199">
        <v>10</v>
      </c>
      <c r="S184" s="199">
        <v>10</v>
      </c>
      <c r="T184" s="199">
        <v>0</v>
      </c>
      <c r="U184" s="199">
        <f t="shared" si="55"/>
        <v>10</v>
      </c>
      <c r="V184" s="199">
        <v>0</v>
      </c>
      <c r="W184" s="199">
        <f t="shared" si="56"/>
        <v>0</v>
      </c>
      <c r="X184" s="199">
        <f t="shared" si="57"/>
        <v>0</v>
      </c>
      <c r="Y184" s="199">
        <f t="shared" si="58"/>
        <v>0</v>
      </c>
      <c r="Z184" s="199">
        <f t="shared" si="59"/>
        <v>0</v>
      </c>
      <c r="AA184" s="199">
        <f t="shared" si="60"/>
        <v>0</v>
      </c>
      <c r="AB184" s="199">
        <f t="shared" si="61"/>
        <v>1</v>
      </c>
      <c r="AC184" s="199">
        <f t="shared" si="62"/>
        <v>0</v>
      </c>
      <c r="AD184" s="199">
        <f t="shared" si="63"/>
        <v>1</v>
      </c>
      <c r="AE184" s="199">
        <f t="shared" si="64"/>
        <v>1</v>
      </c>
      <c r="AF184" s="199">
        <v>1</v>
      </c>
      <c r="AG184" s="199">
        <v>0</v>
      </c>
      <c r="AH184" s="199">
        <v>0</v>
      </c>
      <c r="AI184" s="199">
        <v>0</v>
      </c>
      <c r="AJ184" s="199">
        <v>1</v>
      </c>
      <c r="AK184" s="199">
        <f t="shared" si="65"/>
        <v>0</v>
      </c>
    </row>
    <row r="185" spans="1:37" s="201" customFormat="1" ht="15" customHeight="1" x14ac:dyDescent="0.25">
      <c r="A185" s="199" t="s">
        <v>1308</v>
      </c>
      <c r="B185" s="199" t="s">
        <v>691</v>
      </c>
      <c r="C185" s="199" t="s">
        <v>692</v>
      </c>
      <c r="D185" s="199" t="s">
        <v>1160</v>
      </c>
      <c r="E185" s="199" t="s">
        <v>998</v>
      </c>
      <c r="F185" s="199" t="s">
        <v>1309</v>
      </c>
      <c r="G185" s="200">
        <v>46287</v>
      </c>
      <c r="H185" s="199" t="s">
        <v>1000</v>
      </c>
      <c r="I185" s="199" t="s">
        <v>1201</v>
      </c>
      <c r="J185" s="199" t="s">
        <v>1202</v>
      </c>
      <c r="K185" s="199" t="s">
        <v>13</v>
      </c>
      <c r="L185" s="199">
        <v>10</v>
      </c>
      <c r="M185" s="200">
        <v>46333</v>
      </c>
      <c r="N185" s="199">
        <v>10</v>
      </c>
      <c r="O185" s="199">
        <v>10</v>
      </c>
      <c r="P185" s="199">
        <v>10</v>
      </c>
      <c r="Q185" s="199">
        <v>10</v>
      </c>
      <c r="R185" s="199">
        <v>10</v>
      </c>
      <c r="S185" s="199">
        <v>10</v>
      </c>
      <c r="T185" s="199">
        <v>10</v>
      </c>
      <c r="U185" s="199">
        <f t="shared" si="55"/>
        <v>10</v>
      </c>
      <c r="V185" s="199">
        <v>10</v>
      </c>
      <c r="W185" s="199">
        <f t="shared" si="56"/>
        <v>0</v>
      </c>
      <c r="X185" s="199">
        <f t="shared" si="57"/>
        <v>0</v>
      </c>
      <c r="Y185" s="199">
        <f t="shared" si="58"/>
        <v>0</v>
      </c>
      <c r="Z185" s="199">
        <f t="shared" si="59"/>
        <v>0</v>
      </c>
      <c r="AA185" s="199">
        <f t="shared" si="60"/>
        <v>0</v>
      </c>
      <c r="AB185" s="199">
        <f t="shared" si="61"/>
        <v>0</v>
      </c>
      <c r="AC185" s="199">
        <f t="shared" si="62"/>
        <v>1</v>
      </c>
      <c r="AD185" s="199">
        <f t="shared" si="63"/>
        <v>1</v>
      </c>
      <c r="AE185" s="199">
        <f t="shared" si="64"/>
        <v>1</v>
      </c>
      <c r="AF185" s="199">
        <v>0</v>
      </c>
      <c r="AG185" s="199">
        <v>0</v>
      </c>
      <c r="AH185" s="199">
        <v>0</v>
      </c>
      <c r="AI185" s="199">
        <v>0</v>
      </c>
      <c r="AJ185" s="199">
        <v>0</v>
      </c>
      <c r="AK185" s="199">
        <f t="shared" si="65"/>
        <v>0</v>
      </c>
    </row>
    <row r="186" spans="1:37" s="201" customFormat="1" x14ac:dyDescent="0.25">
      <c r="A186" s="201" t="s">
        <v>1316</v>
      </c>
      <c r="B186" s="201" t="s">
        <v>781</v>
      </c>
      <c r="C186" s="199" t="s">
        <v>870</v>
      </c>
      <c r="D186" s="199" t="s">
        <v>997</v>
      </c>
      <c r="E186" s="199" t="s">
        <v>998</v>
      </c>
      <c r="F186" s="201" t="s">
        <v>1317</v>
      </c>
      <c r="G186" s="200">
        <v>46296</v>
      </c>
      <c r="H186" s="199" t="s">
        <v>1000</v>
      </c>
      <c r="I186" s="199" t="s">
        <v>1318</v>
      </c>
      <c r="J186" s="201" t="s">
        <v>1319</v>
      </c>
      <c r="K186" s="201" t="s">
        <v>905</v>
      </c>
      <c r="L186" s="201">
        <v>15</v>
      </c>
      <c r="M186" s="202">
        <v>46310</v>
      </c>
      <c r="N186" s="201">
        <v>15</v>
      </c>
      <c r="O186" s="201">
        <v>15</v>
      </c>
      <c r="P186" s="201">
        <v>15</v>
      </c>
      <c r="Q186" s="201">
        <v>15</v>
      </c>
      <c r="R186" s="201">
        <v>15</v>
      </c>
      <c r="S186" s="201">
        <v>15</v>
      </c>
      <c r="T186" s="201">
        <v>15</v>
      </c>
      <c r="U186" s="201">
        <f t="shared" si="55"/>
        <v>15</v>
      </c>
      <c r="V186" s="201">
        <v>15</v>
      </c>
      <c r="W186" s="201">
        <f t="shared" si="56"/>
        <v>0</v>
      </c>
      <c r="X186" s="201">
        <f t="shared" si="57"/>
        <v>0</v>
      </c>
      <c r="Y186" s="201">
        <f t="shared" si="58"/>
        <v>0</v>
      </c>
      <c r="Z186" s="201">
        <f t="shared" si="59"/>
        <v>0</v>
      </c>
      <c r="AA186" s="201">
        <f t="shared" si="60"/>
        <v>1</v>
      </c>
      <c r="AB186" s="201">
        <f t="shared" si="61"/>
        <v>0</v>
      </c>
      <c r="AC186" s="201">
        <f t="shared" si="62"/>
        <v>0</v>
      </c>
      <c r="AD186" s="201">
        <f t="shared" si="63"/>
        <v>1</v>
      </c>
      <c r="AE186" s="201">
        <f t="shared" si="64"/>
        <v>1</v>
      </c>
      <c r="AF186" s="201">
        <v>0</v>
      </c>
      <c r="AG186" s="201">
        <v>0</v>
      </c>
      <c r="AH186" s="201">
        <v>0</v>
      </c>
      <c r="AI186" s="201">
        <v>0</v>
      </c>
      <c r="AJ186" s="201">
        <v>0</v>
      </c>
      <c r="AK186" s="201">
        <f t="shared" si="65"/>
        <v>0</v>
      </c>
    </row>
    <row r="187" spans="1:37" s="201" customFormat="1" x14ac:dyDescent="0.25">
      <c r="A187" s="201" t="s">
        <v>1320</v>
      </c>
      <c r="B187" s="201" t="s">
        <v>784</v>
      </c>
      <c r="C187" s="199" t="s">
        <v>871</v>
      </c>
      <c r="D187" s="199" t="s">
        <v>997</v>
      </c>
      <c r="E187" s="199" t="s">
        <v>998</v>
      </c>
      <c r="F187" s="201" t="s">
        <v>1321</v>
      </c>
      <c r="G187" s="200">
        <v>46301</v>
      </c>
      <c r="H187" s="199" t="s">
        <v>1000</v>
      </c>
      <c r="I187" s="199" t="s">
        <v>1005</v>
      </c>
      <c r="J187" s="201" t="s">
        <v>1006</v>
      </c>
      <c r="K187" s="201" t="s">
        <v>13</v>
      </c>
      <c r="L187" s="201">
        <v>30</v>
      </c>
      <c r="M187" s="202">
        <v>46351</v>
      </c>
      <c r="N187" s="201">
        <v>30</v>
      </c>
      <c r="O187" s="201">
        <v>30</v>
      </c>
      <c r="P187" s="201">
        <v>30</v>
      </c>
      <c r="Q187" s="201">
        <v>30</v>
      </c>
      <c r="R187" s="201">
        <v>19</v>
      </c>
      <c r="S187" s="201">
        <v>0</v>
      </c>
      <c r="T187" s="201">
        <v>0</v>
      </c>
      <c r="U187" s="201">
        <f t="shared" si="55"/>
        <v>30</v>
      </c>
      <c r="V187" s="201">
        <v>0</v>
      </c>
      <c r="W187" s="201">
        <f t="shared" si="56"/>
        <v>0</v>
      </c>
      <c r="X187" s="201">
        <f t="shared" si="57"/>
        <v>0</v>
      </c>
      <c r="Y187" s="201">
        <f t="shared" si="58"/>
        <v>0</v>
      </c>
      <c r="Z187" s="201">
        <f t="shared" si="59"/>
        <v>1</v>
      </c>
      <c r="AA187" s="201">
        <f t="shared" si="60"/>
        <v>0</v>
      </c>
      <c r="AB187" s="201">
        <f t="shared" si="61"/>
        <v>0</v>
      </c>
      <c r="AC187" s="201">
        <f t="shared" si="62"/>
        <v>0</v>
      </c>
      <c r="AD187" s="201">
        <f t="shared" si="63"/>
        <v>1</v>
      </c>
      <c r="AE187" s="201">
        <f t="shared" si="64"/>
        <v>1</v>
      </c>
      <c r="AF187" s="201">
        <v>1</v>
      </c>
      <c r="AG187" s="201">
        <v>0</v>
      </c>
      <c r="AH187" s="201">
        <v>0</v>
      </c>
      <c r="AI187" s="201">
        <v>1</v>
      </c>
      <c r="AJ187" s="201">
        <v>0</v>
      </c>
      <c r="AK187" s="201">
        <f t="shared" si="65"/>
        <v>0</v>
      </c>
    </row>
    <row r="188" spans="1:37" s="201" customFormat="1" x14ac:dyDescent="0.25">
      <c r="A188" s="201" t="s">
        <v>1320</v>
      </c>
      <c r="B188" s="201" t="s">
        <v>784</v>
      </c>
      <c r="C188" s="199" t="s">
        <v>871</v>
      </c>
      <c r="D188" s="199" t="s">
        <v>997</v>
      </c>
      <c r="E188" s="199" t="s">
        <v>998</v>
      </c>
      <c r="F188" s="201" t="s">
        <v>1321</v>
      </c>
      <c r="G188" s="200">
        <v>46301</v>
      </c>
      <c r="H188" s="199" t="s">
        <v>1000</v>
      </c>
      <c r="I188" s="199" t="s">
        <v>1007</v>
      </c>
      <c r="J188" s="201" t="s">
        <v>1008</v>
      </c>
      <c r="K188" s="201" t="s">
        <v>13</v>
      </c>
      <c r="L188" s="201">
        <v>30</v>
      </c>
      <c r="M188" s="202">
        <v>46351</v>
      </c>
      <c r="N188" s="201">
        <v>30</v>
      </c>
      <c r="O188" s="201">
        <v>30</v>
      </c>
      <c r="P188" s="201">
        <v>30</v>
      </c>
      <c r="Q188" s="201">
        <v>30</v>
      </c>
      <c r="R188" s="201">
        <v>0</v>
      </c>
      <c r="S188" s="201">
        <v>0</v>
      </c>
      <c r="T188" s="201">
        <v>0</v>
      </c>
      <c r="U188" s="201">
        <f t="shared" si="55"/>
        <v>30</v>
      </c>
      <c r="V188" s="201">
        <v>0</v>
      </c>
      <c r="W188" s="201">
        <f t="shared" si="56"/>
        <v>0</v>
      </c>
      <c r="X188" s="201">
        <f t="shared" si="57"/>
        <v>0</v>
      </c>
      <c r="Y188" s="201">
        <f t="shared" si="58"/>
        <v>0</v>
      </c>
      <c r="Z188" s="201">
        <f t="shared" si="59"/>
        <v>1</v>
      </c>
      <c r="AA188" s="201">
        <f t="shared" si="60"/>
        <v>0</v>
      </c>
      <c r="AB188" s="201">
        <f t="shared" si="61"/>
        <v>0</v>
      </c>
      <c r="AC188" s="201">
        <f t="shared" si="62"/>
        <v>0</v>
      </c>
      <c r="AD188" s="201">
        <f t="shared" si="63"/>
        <v>1</v>
      </c>
      <c r="AE188" s="201">
        <f t="shared" si="64"/>
        <v>1</v>
      </c>
      <c r="AF188" s="201">
        <v>1</v>
      </c>
      <c r="AG188" s="201">
        <v>0</v>
      </c>
      <c r="AH188" s="201">
        <v>0</v>
      </c>
      <c r="AI188" s="201">
        <v>1</v>
      </c>
      <c r="AJ188" s="201">
        <v>0</v>
      </c>
      <c r="AK188" s="201">
        <f t="shared" si="65"/>
        <v>0</v>
      </c>
    </row>
    <row r="189" spans="1:37" s="201" customFormat="1" x14ac:dyDescent="0.25">
      <c r="A189" s="201" t="s">
        <v>1320</v>
      </c>
      <c r="B189" s="201" t="s">
        <v>784</v>
      </c>
      <c r="C189" s="199" t="s">
        <v>871</v>
      </c>
      <c r="D189" s="199" t="s">
        <v>997</v>
      </c>
      <c r="E189" s="199" t="s">
        <v>998</v>
      </c>
      <c r="F189" s="201" t="s">
        <v>1321</v>
      </c>
      <c r="G189" s="200">
        <v>46301</v>
      </c>
      <c r="H189" s="199" t="s">
        <v>1000</v>
      </c>
      <c r="I189" s="199" t="s">
        <v>1009</v>
      </c>
      <c r="J189" s="201" t="s">
        <v>1010</v>
      </c>
      <c r="K189" s="201" t="s">
        <v>13</v>
      </c>
      <c r="L189" s="201">
        <v>30</v>
      </c>
      <c r="M189" s="202">
        <v>46351</v>
      </c>
      <c r="N189" s="201">
        <v>30</v>
      </c>
      <c r="O189" s="201">
        <v>30</v>
      </c>
      <c r="P189" s="201">
        <v>30</v>
      </c>
      <c r="Q189" s="201">
        <v>30</v>
      </c>
      <c r="R189" s="201">
        <v>0</v>
      </c>
      <c r="S189" s="201">
        <v>0</v>
      </c>
      <c r="T189" s="201">
        <v>0</v>
      </c>
      <c r="U189" s="201">
        <f t="shared" si="55"/>
        <v>30</v>
      </c>
      <c r="V189" s="201">
        <v>0</v>
      </c>
      <c r="W189" s="201">
        <f t="shared" si="56"/>
        <v>0</v>
      </c>
      <c r="X189" s="201">
        <f t="shared" si="57"/>
        <v>0</v>
      </c>
      <c r="Y189" s="201">
        <f t="shared" si="58"/>
        <v>0</v>
      </c>
      <c r="Z189" s="201">
        <f t="shared" si="59"/>
        <v>0</v>
      </c>
      <c r="AA189" s="201">
        <f t="shared" si="60"/>
        <v>1</v>
      </c>
      <c r="AB189" s="201">
        <f t="shared" si="61"/>
        <v>0</v>
      </c>
      <c r="AC189" s="201">
        <f t="shared" si="62"/>
        <v>0</v>
      </c>
      <c r="AD189" s="201">
        <f t="shared" si="63"/>
        <v>1</v>
      </c>
      <c r="AE189" s="201">
        <f t="shared" si="64"/>
        <v>1</v>
      </c>
      <c r="AF189" s="201">
        <v>1</v>
      </c>
      <c r="AG189" s="201">
        <v>0</v>
      </c>
      <c r="AH189" s="201">
        <v>0</v>
      </c>
      <c r="AI189" s="201">
        <v>1</v>
      </c>
      <c r="AJ189" s="201">
        <v>0</v>
      </c>
      <c r="AK189" s="201">
        <f t="shared" si="65"/>
        <v>0</v>
      </c>
    </row>
    <row r="190" spans="1:37" s="201" customFormat="1" x14ac:dyDescent="0.25">
      <c r="A190" s="201" t="s">
        <v>1320</v>
      </c>
      <c r="B190" s="201" t="s">
        <v>784</v>
      </c>
      <c r="C190" s="199" t="s">
        <v>871</v>
      </c>
      <c r="D190" s="199" t="s">
        <v>997</v>
      </c>
      <c r="E190" s="199" t="s">
        <v>998</v>
      </c>
      <c r="F190" s="201" t="s">
        <v>1321</v>
      </c>
      <c r="G190" s="200">
        <v>46301</v>
      </c>
      <c r="H190" s="199" t="s">
        <v>1000</v>
      </c>
      <c r="I190" s="199" t="s">
        <v>1013</v>
      </c>
      <c r="J190" s="201" t="s">
        <v>1014</v>
      </c>
      <c r="K190" s="201" t="s">
        <v>13</v>
      </c>
      <c r="L190" s="201">
        <v>30</v>
      </c>
      <c r="M190" s="202">
        <v>46351</v>
      </c>
      <c r="N190" s="201">
        <v>30</v>
      </c>
      <c r="O190" s="201">
        <v>30</v>
      </c>
      <c r="P190" s="201">
        <v>30</v>
      </c>
      <c r="Q190" s="201">
        <v>30</v>
      </c>
      <c r="R190" s="201">
        <v>0</v>
      </c>
      <c r="S190" s="201">
        <v>0</v>
      </c>
      <c r="T190" s="201">
        <v>0</v>
      </c>
      <c r="U190" s="201">
        <f t="shared" si="55"/>
        <v>30</v>
      </c>
      <c r="V190" s="201">
        <v>0</v>
      </c>
      <c r="W190" s="201">
        <f t="shared" si="56"/>
        <v>0</v>
      </c>
      <c r="X190" s="201">
        <f t="shared" si="57"/>
        <v>0</v>
      </c>
      <c r="Y190" s="201">
        <f t="shared" si="58"/>
        <v>0</v>
      </c>
      <c r="Z190" s="201">
        <f t="shared" si="59"/>
        <v>0</v>
      </c>
      <c r="AA190" s="201">
        <f t="shared" si="60"/>
        <v>1</v>
      </c>
      <c r="AB190" s="201">
        <f t="shared" si="61"/>
        <v>0</v>
      </c>
      <c r="AC190" s="201">
        <f t="shared" si="62"/>
        <v>0</v>
      </c>
      <c r="AD190" s="201">
        <f t="shared" si="63"/>
        <v>1</v>
      </c>
      <c r="AE190" s="201">
        <f t="shared" si="64"/>
        <v>1</v>
      </c>
      <c r="AF190" s="201">
        <v>1</v>
      </c>
      <c r="AG190" s="201">
        <v>0</v>
      </c>
      <c r="AH190" s="201">
        <v>0</v>
      </c>
      <c r="AI190" s="201">
        <v>1</v>
      </c>
      <c r="AJ190" s="201">
        <v>0</v>
      </c>
      <c r="AK190" s="201">
        <f t="shared" si="65"/>
        <v>0</v>
      </c>
    </row>
    <row r="191" spans="1:37" s="201" customFormat="1" x14ac:dyDescent="0.25">
      <c r="A191" s="201" t="s">
        <v>1320</v>
      </c>
      <c r="B191" s="201" t="s">
        <v>784</v>
      </c>
      <c r="C191" s="199" t="s">
        <v>871</v>
      </c>
      <c r="D191" s="199" t="s">
        <v>997</v>
      </c>
      <c r="E191" s="199" t="s">
        <v>998</v>
      </c>
      <c r="F191" s="201" t="s">
        <v>1321</v>
      </c>
      <c r="G191" s="200">
        <v>46301</v>
      </c>
      <c r="H191" s="199" t="s">
        <v>1000</v>
      </c>
      <c r="I191" s="199" t="s">
        <v>1322</v>
      </c>
      <c r="J191" s="201" t="s">
        <v>1323</v>
      </c>
      <c r="K191" s="201" t="s">
        <v>13</v>
      </c>
      <c r="L191" s="201">
        <v>5</v>
      </c>
      <c r="M191" s="202">
        <v>46351</v>
      </c>
      <c r="N191" s="201">
        <v>5</v>
      </c>
      <c r="O191" s="201">
        <v>5</v>
      </c>
      <c r="P191" s="201">
        <v>5</v>
      </c>
      <c r="Q191" s="201">
        <v>5</v>
      </c>
      <c r="R191" s="201">
        <v>0</v>
      </c>
      <c r="S191" s="201">
        <v>0</v>
      </c>
      <c r="T191" s="201">
        <v>0</v>
      </c>
      <c r="U191" s="201">
        <f t="shared" si="55"/>
        <v>5</v>
      </c>
      <c r="V191" s="201">
        <v>0</v>
      </c>
      <c r="W191" s="201">
        <f t="shared" si="56"/>
        <v>0</v>
      </c>
      <c r="X191" s="201">
        <f t="shared" si="57"/>
        <v>0</v>
      </c>
      <c r="Y191" s="201">
        <f t="shared" si="58"/>
        <v>0</v>
      </c>
      <c r="Z191" s="201">
        <f t="shared" si="59"/>
        <v>1</v>
      </c>
      <c r="AA191" s="201">
        <f t="shared" si="60"/>
        <v>0</v>
      </c>
      <c r="AB191" s="201">
        <f t="shared" si="61"/>
        <v>0</v>
      </c>
      <c r="AC191" s="201">
        <f t="shared" si="62"/>
        <v>0</v>
      </c>
      <c r="AD191" s="201">
        <f t="shared" si="63"/>
        <v>1</v>
      </c>
      <c r="AE191" s="201">
        <f t="shared" si="64"/>
        <v>1</v>
      </c>
      <c r="AF191" s="201">
        <v>1</v>
      </c>
      <c r="AG191" s="201">
        <v>0</v>
      </c>
      <c r="AH191" s="201">
        <v>0</v>
      </c>
      <c r="AI191" s="201">
        <v>1</v>
      </c>
      <c r="AJ191" s="201">
        <v>0</v>
      </c>
      <c r="AK191" s="201">
        <f t="shared" si="65"/>
        <v>0</v>
      </c>
    </row>
    <row r="192" spans="1:37" s="201" customFormat="1" x14ac:dyDescent="0.25">
      <c r="A192" s="201" t="s">
        <v>1320</v>
      </c>
      <c r="B192" s="201" t="s">
        <v>784</v>
      </c>
      <c r="C192" s="199" t="s">
        <v>871</v>
      </c>
      <c r="D192" s="199" t="s">
        <v>997</v>
      </c>
      <c r="E192" s="199" t="s">
        <v>998</v>
      </c>
      <c r="F192" s="201" t="s">
        <v>1321</v>
      </c>
      <c r="G192" s="200">
        <v>46301</v>
      </c>
      <c r="H192" s="199" t="s">
        <v>1000</v>
      </c>
      <c r="I192" s="199" t="s">
        <v>1324</v>
      </c>
      <c r="J192" s="201" t="s">
        <v>1325</v>
      </c>
      <c r="K192" s="201" t="s">
        <v>13</v>
      </c>
      <c r="L192" s="201">
        <v>10</v>
      </c>
      <c r="M192" s="202">
        <v>46351</v>
      </c>
      <c r="N192" s="201">
        <v>10</v>
      </c>
      <c r="O192" s="201">
        <v>10</v>
      </c>
      <c r="P192" s="201">
        <v>10</v>
      </c>
      <c r="Q192" s="201">
        <v>10</v>
      </c>
      <c r="R192" s="201">
        <v>0</v>
      </c>
      <c r="S192" s="201">
        <v>0</v>
      </c>
      <c r="T192" s="201">
        <v>0</v>
      </c>
      <c r="U192" s="201">
        <f t="shared" si="55"/>
        <v>10</v>
      </c>
      <c r="V192" s="201">
        <v>0</v>
      </c>
      <c r="W192" s="201">
        <f t="shared" si="56"/>
        <v>0</v>
      </c>
      <c r="X192" s="201">
        <f t="shared" si="57"/>
        <v>0</v>
      </c>
      <c r="Y192" s="201">
        <f t="shared" si="58"/>
        <v>0</v>
      </c>
      <c r="Z192" s="201">
        <f t="shared" si="59"/>
        <v>1</v>
      </c>
      <c r="AA192" s="201">
        <f t="shared" si="60"/>
        <v>0</v>
      </c>
      <c r="AB192" s="201">
        <f t="shared" si="61"/>
        <v>0</v>
      </c>
      <c r="AC192" s="201">
        <f t="shared" si="62"/>
        <v>0</v>
      </c>
      <c r="AD192" s="201">
        <f t="shared" si="63"/>
        <v>1</v>
      </c>
      <c r="AE192" s="201">
        <f t="shared" si="64"/>
        <v>1</v>
      </c>
      <c r="AF192" s="201">
        <v>1</v>
      </c>
      <c r="AG192" s="201">
        <v>0</v>
      </c>
      <c r="AH192" s="201">
        <v>0</v>
      </c>
      <c r="AI192" s="201">
        <v>1</v>
      </c>
      <c r="AJ192" s="201">
        <v>0</v>
      </c>
      <c r="AK192" s="201">
        <f t="shared" si="65"/>
        <v>0</v>
      </c>
    </row>
    <row r="193" spans="1:37" s="201" customFormat="1" x14ac:dyDescent="0.25">
      <c r="A193" s="201" t="s">
        <v>1320</v>
      </c>
      <c r="B193" s="201" t="s">
        <v>784</v>
      </c>
      <c r="C193" s="199" t="s">
        <v>871</v>
      </c>
      <c r="D193" s="199" t="s">
        <v>997</v>
      </c>
      <c r="E193" s="199" t="s">
        <v>998</v>
      </c>
      <c r="F193" s="201" t="s">
        <v>1321</v>
      </c>
      <c r="G193" s="200">
        <v>46301</v>
      </c>
      <c r="H193" s="199" t="s">
        <v>1000</v>
      </c>
      <c r="I193" s="199" t="s">
        <v>1076</v>
      </c>
      <c r="J193" s="201" t="s">
        <v>1077</v>
      </c>
      <c r="K193" s="201" t="s">
        <v>13</v>
      </c>
      <c r="L193" s="201">
        <v>10</v>
      </c>
      <c r="M193" s="202">
        <v>46351</v>
      </c>
      <c r="N193" s="201">
        <v>10</v>
      </c>
      <c r="O193" s="201">
        <v>10</v>
      </c>
      <c r="P193" s="201">
        <v>10</v>
      </c>
      <c r="Q193" s="201">
        <v>10</v>
      </c>
      <c r="R193" s="201">
        <v>0</v>
      </c>
      <c r="S193" s="201">
        <v>0</v>
      </c>
      <c r="T193" s="201">
        <v>0</v>
      </c>
      <c r="U193" s="201">
        <f t="shared" si="55"/>
        <v>10</v>
      </c>
      <c r="V193" s="201">
        <v>0</v>
      </c>
      <c r="W193" s="201">
        <f t="shared" si="56"/>
        <v>0</v>
      </c>
      <c r="X193" s="201">
        <f t="shared" si="57"/>
        <v>0</v>
      </c>
      <c r="Y193" s="201">
        <f t="shared" si="58"/>
        <v>0</v>
      </c>
      <c r="Z193" s="201">
        <f t="shared" si="59"/>
        <v>1</v>
      </c>
      <c r="AA193" s="201">
        <f t="shared" si="60"/>
        <v>0</v>
      </c>
      <c r="AB193" s="201">
        <f t="shared" si="61"/>
        <v>0</v>
      </c>
      <c r="AC193" s="201">
        <f t="shared" si="62"/>
        <v>0</v>
      </c>
      <c r="AD193" s="201">
        <f t="shared" si="63"/>
        <v>1</v>
      </c>
      <c r="AE193" s="201">
        <f t="shared" si="64"/>
        <v>1</v>
      </c>
      <c r="AF193" s="201">
        <v>1</v>
      </c>
      <c r="AG193" s="201">
        <v>0</v>
      </c>
      <c r="AH193" s="201">
        <v>0</v>
      </c>
      <c r="AI193" s="201">
        <v>1</v>
      </c>
      <c r="AJ193" s="201">
        <v>0</v>
      </c>
      <c r="AK193" s="201">
        <f t="shared" si="65"/>
        <v>0</v>
      </c>
    </row>
    <row r="194" spans="1:37" s="201" customFormat="1" x14ac:dyDescent="0.25">
      <c r="A194" s="201" t="s">
        <v>1320</v>
      </c>
      <c r="B194" s="201" t="s">
        <v>784</v>
      </c>
      <c r="C194" s="199" t="s">
        <v>871</v>
      </c>
      <c r="D194" s="199" t="s">
        <v>997</v>
      </c>
      <c r="E194" s="199" t="s">
        <v>998</v>
      </c>
      <c r="F194" s="201" t="s">
        <v>1321</v>
      </c>
      <c r="G194" s="200">
        <v>46301</v>
      </c>
      <c r="H194" s="199" t="s">
        <v>1000</v>
      </c>
      <c r="I194" s="199" t="s">
        <v>1326</v>
      </c>
      <c r="J194" s="201" t="s">
        <v>1327</v>
      </c>
      <c r="K194" s="201" t="s">
        <v>13</v>
      </c>
      <c r="L194" s="201">
        <v>5</v>
      </c>
      <c r="M194" s="202">
        <v>46351</v>
      </c>
      <c r="N194" s="201">
        <v>5</v>
      </c>
      <c r="O194" s="201">
        <v>5</v>
      </c>
      <c r="P194" s="201">
        <v>5</v>
      </c>
      <c r="Q194" s="201">
        <v>5</v>
      </c>
      <c r="R194" s="201">
        <v>5</v>
      </c>
      <c r="S194" s="201">
        <v>0</v>
      </c>
      <c r="T194" s="201">
        <v>0</v>
      </c>
      <c r="U194" s="201">
        <f t="shared" ref="U194:U225" si="66">L194-T194</f>
        <v>5</v>
      </c>
      <c r="V194" s="201">
        <v>0</v>
      </c>
      <c r="W194" s="201">
        <f t="shared" ref="W194:W225" si="67">T194-V194</f>
        <v>0</v>
      </c>
      <c r="X194" s="201">
        <f t="shared" ref="X194:X199" si="68">IF(N194-O194&gt;0,1,0)</f>
        <v>0</v>
      </c>
      <c r="Y194" s="201">
        <f t="shared" ref="Y194:Y199" si="69">IF(O194-P194&gt;0,1,0)</f>
        <v>0</v>
      </c>
      <c r="Z194" s="201">
        <f t="shared" ref="Z194:Z199" si="70">IF(P194-Q194&gt;0,1,0)</f>
        <v>0</v>
      </c>
      <c r="AA194" s="201">
        <f t="shared" ref="AA194:AA199" si="71">IF(Q194-R194&gt;0,1,0)</f>
        <v>0</v>
      </c>
      <c r="AB194" s="201">
        <f t="shared" ref="AB194:AB199" si="72">IF(R194-S194&gt;0,1,0)</f>
        <v>1</v>
      </c>
      <c r="AC194" s="201">
        <f t="shared" ref="AC194:AC199" si="73">IF(S194-T194&gt;0,1,0)</f>
        <v>0</v>
      </c>
      <c r="AD194" s="201">
        <f t="shared" ref="AD194:AD199" si="74">IF(L194-V194&gt;0,1,0)</f>
        <v>1</v>
      </c>
      <c r="AE194" s="201">
        <f t="shared" ref="AE194:AE199" si="75">IF(L194-T194&gt;0,1,0)</f>
        <v>1</v>
      </c>
      <c r="AF194" s="201">
        <v>1</v>
      </c>
      <c r="AG194" s="201">
        <v>0</v>
      </c>
      <c r="AH194" s="201">
        <v>0</v>
      </c>
      <c r="AI194" s="201">
        <v>1</v>
      </c>
      <c r="AJ194" s="201">
        <v>0</v>
      </c>
      <c r="AK194" s="201">
        <f t="shared" ref="AK194:AK199" si="76">IF(T194-V194&gt;0,1,0)</f>
        <v>0</v>
      </c>
    </row>
    <row r="195" spans="1:37" s="201" customFormat="1" x14ac:dyDescent="0.25">
      <c r="A195" s="201" t="s">
        <v>1042</v>
      </c>
      <c r="B195" s="201" t="s">
        <v>845</v>
      </c>
      <c r="C195" s="201" t="s">
        <v>873</v>
      </c>
      <c r="D195" s="201" t="s">
        <v>997</v>
      </c>
      <c r="E195" s="201" t="s">
        <v>998</v>
      </c>
      <c r="F195" s="201" t="s">
        <v>1328</v>
      </c>
      <c r="G195" s="202">
        <v>46309</v>
      </c>
      <c r="H195" s="201" t="s">
        <v>1000</v>
      </c>
      <c r="I195" s="201" t="s">
        <v>1001</v>
      </c>
      <c r="J195" s="201" t="s">
        <v>1002</v>
      </c>
      <c r="K195" s="201" t="s">
        <v>13</v>
      </c>
      <c r="L195" s="201">
        <v>45</v>
      </c>
      <c r="M195" s="202">
        <v>46356</v>
      </c>
      <c r="N195" s="201">
        <v>45</v>
      </c>
      <c r="O195" s="201">
        <v>45</v>
      </c>
      <c r="P195" s="201">
        <v>45</v>
      </c>
      <c r="Q195" s="201">
        <v>0</v>
      </c>
      <c r="R195" s="201">
        <v>0</v>
      </c>
      <c r="S195" s="201">
        <v>0</v>
      </c>
      <c r="T195" s="201">
        <v>0</v>
      </c>
      <c r="U195" s="201">
        <f t="shared" si="66"/>
        <v>45</v>
      </c>
      <c r="V195" s="201">
        <v>0</v>
      </c>
      <c r="W195" s="201">
        <f t="shared" si="67"/>
        <v>0</v>
      </c>
      <c r="X195" s="201">
        <f t="shared" si="68"/>
        <v>0</v>
      </c>
      <c r="Y195" s="201">
        <f t="shared" si="69"/>
        <v>1</v>
      </c>
      <c r="Z195" s="201">
        <f t="shared" si="70"/>
        <v>0</v>
      </c>
      <c r="AA195" s="201">
        <f t="shared" si="71"/>
        <v>0</v>
      </c>
      <c r="AB195" s="201">
        <f t="shared" si="72"/>
        <v>0</v>
      </c>
      <c r="AC195" s="201">
        <f t="shared" si="73"/>
        <v>0</v>
      </c>
      <c r="AD195" s="201">
        <f t="shared" si="74"/>
        <v>1</v>
      </c>
      <c r="AE195" s="201">
        <f t="shared" si="75"/>
        <v>1</v>
      </c>
      <c r="AF195" s="201">
        <v>1</v>
      </c>
      <c r="AG195" s="201">
        <v>0</v>
      </c>
      <c r="AH195" s="201">
        <v>1</v>
      </c>
      <c r="AI195" s="201">
        <v>0</v>
      </c>
      <c r="AJ195" s="201">
        <v>0</v>
      </c>
      <c r="AK195" s="201">
        <f t="shared" si="76"/>
        <v>0</v>
      </c>
    </row>
    <row r="196" spans="1:37" s="201" customFormat="1" x14ac:dyDescent="0.25">
      <c r="A196" s="201" t="s">
        <v>1042</v>
      </c>
      <c r="B196" s="201" t="s">
        <v>845</v>
      </c>
      <c r="C196" s="201" t="s">
        <v>873</v>
      </c>
      <c r="D196" s="201" t="s">
        <v>997</v>
      </c>
      <c r="E196" s="201" t="s">
        <v>998</v>
      </c>
      <c r="F196" s="201" t="s">
        <v>1328</v>
      </c>
      <c r="G196" s="202">
        <v>46309</v>
      </c>
      <c r="H196" s="201" t="s">
        <v>1000</v>
      </c>
      <c r="I196" s="201" t="s">
        <v>1065</v>
      </c>
      <c r="J196" s="201" t="s">
        <v>1256</v>
      </c>
      <c r="K196" s="201" t="s">
        <v>13</v>
      </c>
      <c r="L196" s="201">
        <v>25</v>
      </c>
      <c r="M196" s="202">
        <v>46356</v>
      </c>
      <c r="N196" s="201">
        <v>25</v>
      </c>
      <c r="O196" s="201">
        <v>25</v>
      </c>
      <c r="P196" s="201">
        <v>25</v>
      </c>
      <c r="Q196" s="201">
        <v>25</v>
      </c>
      <c r="R196" s="201">
        <v>0</v>
      </c>
      <c r="S196" s="201">
        <v>0</v>
      </c>
      <c r="T196" s="201">
        <v>0</v>
      </c>
      <c r="U196" s="201">
        <f t="shared" si="66"/>
        <v>25</v>
      </c>
      <c r="V196" s="201">
        <v>0</v>
      </c>
      <c r="W196" s="201">
        <f t="shared" si="67"/>
        <v>0</v>
      </c>
      <c r="X196" s="201">
        <f t="shared" si="68"/>
        <v>0</v>
      </c>
      <c r="Y196" s="201">
        <f t="shared" si="69"/>
        <v>1</v>
      </c>
      <c r="Z196" s="201">
        <f t="shared" si="70"/>
        <v>0</v>
      </c>
      <c r="AA196" s="201">
        <f t="shared" si="71"/>
        <v>0</v>
      </c>
      <c r="AB196" s="201">
        <f t="shared" si="72"/>
        <v>0</v>
      </c>
      <c r="AC196" s="201">
        <f t="shared" si="73"/>
        <v>0</v>
      </c>
      <c r="AD196" s="201">
        <f t="shared" si="74"/>
        <v>1</v>
      </c>
      <c r="AE196" s="201">
        <f t="shared" si="75"/>
        <v>1</v>
      </c>
      <c r="AF196" s="201">
        <v>1</v>
      </c>
      <c r="AG196" s="201">
        <v>0</v>
      </c>
      <c r="AH196" s="201">
        <v>1</v>
      </c>
      <c r="AI196" s="201">
        <v>0</v>
      </c>
      <c r="AJ196" s="201">
        <v>0</v>
      </c>
      <c r="AK196" s="201">
        <f t="shared" si="76"/>
        <v>0</v>
      </c>
    </row>
    <row r="197" spans="1:37" s="201" customFormat="1" x14ac:dyDescent="0.25">
      <c r="A197" s="201" t="s">
        <v>1042</v>
      </c>
      <c r="B197" s="201" t="s">
        <v>845</v>
      </c>
      <c r="C197" s="201" t="s">
        <v>873</v>
      </c>
      <c r="D197" s="201" t="s">
        <v>997</v>
      </c>
      <c r="E197" s="201" t="s">
        <v>998</v>
      </c>
      <c r="F197" s="201" t="s">
        <v>1328</v>
      </c>
      <c r="G197" s="202">
        <v>46309</v>
      </c>
      <c r="H197" s="201" t="s">
        <v>1000</v>
      </c>
      <c r="I197" s="201" t="s">
        <v>1051</v>
      </c>
      <c r="J197" s="201" t="s">
        <v>1052</v>
      </c>
      <c r="K197" s="201" t="s">
        <v>13</v>
      </c>
      <c r="L197" s="201">
        <v>15</v>
      </c>
      <c r="M197" s="202">
        <v>46356</v>
      </c>
      <c r="N197" s="201">
        <v>15</v>
      </c>
      <c r="O197" s="201">
        <v>15</v>
      </c>
      <c r="P197" s="201">
        <v>15</v>
      </c>
      <c r="Q197" s="201">
        <v>0</v>
      </c>
      <c r="R197" s="201">
        <v>0</v>
      </c>
      <c r="S197" s="201">
        <v>0</v>
      </c>
      <c r="T197" s="201">
        <v>0</v>
      </c>
      <c r="U197" s="201">
        <f t="shared" si="66"/>
        <v>15</v>
      </c>
      <c r="V197" s="201">
        <v>0</v>
      </c>
      <c r="W197" s="201">
        <f t="shared" si="67"/>
        <v>0</v>
      </c>
      <c r="X197" s="201">
        <f t="shared" si="68"/>
        <v>0</v>
      </c>
      <c r="Y197" s="201">
        <f t="shared" si="69"/>
        <v>1</v>
      </c>
      <c r="Z197" s="201">
        <f t="shared" si="70"/>
        <v>0</v>
      </c>
      <c r="AA197" s="201">
        <f t="shared" si="71"/>
        <v>0</v>
      </c>
      <c r="AB197" s="201">
        <f t="shared" si="72"/>
        <v>0</v>
      </c>
      <c r="AC197" s="201">
        <f t="shared" si="73"/>
        <v>0</v>
      </c>
      <c r="AD197" s="201">
        <f t="shared" si="74"/>
        <v>1</v>
      </c>
      <c r="AE197" s="201">
        <f t="shared" si="75"/>
        <v>1</v>
      </c>
      <c r="AF197" s="201">
        <v>1</v>
      </c>
      <c r="AG197" s="201">
        <v>0</v>
      </c>
      <c r="AH197" s="201">
        <v>1</v>
      </c>
      <c r="AI197" s="201">
        <v>0</v>
      </c>
      <c r="AJ197" s="201">
        <v>0</v>
      </c>
      <c r="AK197" s="201">
        <f t="shared" si="76"/>
        <v>0</v>
      </c>
    </row>
    <row r="198" spans="1:37" x14ac:dyDescent="0.25">
      <c r="A198" s="201" t="s">
        <v>1329</v>
      </c>
      <c r="B198" s="201" t="s">
        <v>852</v>
      </c>
      <c r="C198" s="201" t="s">
        <v>837</v>
      </c>
      <c r="D198" s="201" t="s">
        <v>997</v>
      </c>
      <c r="E198" s="201" t="s">
        <v>998</v>
      </c>
      <c r="F198" s="201" t="s">
        <v>1330</v>
      </c>
      <c r="G198" s="202">
        <v>46312</v>
      </c>
      <c r="H198" s="201" t="s">
        <v>1000</v>
      </c>
      <c r="I198" s="201" t="s">
        <v>1040</v>
      </c>
      <c r="J198" s="201" t="s">
        <v>1041</v>
      </c>
      <c r="K198" s="201" t="s">
        <v>15</v>
      </c>
      <c r="L198" s="201">
        <v>120</v>
      </c>
      <c r="M198" s="202">
        <v>46368</v>
      </c>
      <c r="N198" s="201">
        <v>120</v>
      </c>
      <c r="O198" s="201">
        <v>120</v>
      </c>
      <c r="P198" s="201">
        <v>120</v>
      </c>
      <c r="Q198" s="201">
        <v>0</v>
      </c>
      <c r="R198" s="201">
        <v>0</v>
      </c>
      <c r="S198" s="201">
        <v>0</v>
      </c>
      <c r="T198" s="201">
        <v>0</v>
      </c>
      <c r="U198" s="201">
        <f t="shared" si="66"/>
        <v>120</v>
      </c>
      <c r="V198" s="201">
        <v>0</v>
      </c>
      <c r="W198" s="201">
        <f t="shared" si="67"/>
        <v>0</v>
      </c>
      <c r="X198" s="201">
        <f t="shared" si="68"/>
        <v>1</v>
      </c>
      <c r="Y198" s="201">
        <f t="shared" si="69"/>
        <v>0</v>
      </c>
      <c r="Z198" s="201">
        <f t="shared" si="70"/>
        <v>0</v>
      </c>
      <c r="AA198" s="201">
        <f t="shared" si="71"/>
        <v>0</v>
      </c>
      <c r="AB198" s="201">
        <f t="shared" si="72"/>
        <v>0</v>
      </c>
      <c r="AC198" s="201">
        <f t="shared" si="73"/>
        <v>0</v>
      </c>
      <c r="AD198" s="201">
        <f t="shared" si="74"/>
        <v>1</v>
      </c>
      <c r="AE198" s="201">
        <f t="shared" si="75"/>
        <v>1</v>
      </c>
      <c r="AF198" s="201">
        <v>1</v>
      </c>
      <c r="AG198" s="201">
        <v>1</v>
      </c>
      <c r="AH198" s="201">
        <v>0</v>
      </c>
      <c r="AI198" s="201">
        <v>0</v>
      </c>
      <c r="AJ198" s="201">
        <v>0</v>
      </c>
      <c r="AK198" s="201">
        <f t="shared" si="76"/>
        <v>0</v>
      </c>
    </row>
    <row r="199" spans="1:37" x14ac:dyDescent="0.25">
      <c r="A199" s="201" t="s">
        <v>1329</v>
      </c>
      <c r="B199" s="201" t="s">
        <v>852</v>
      </c>
      <c r="C199" s="201" t="s">
        <v>837</v>
      </c>
      <c r="D199" s="201" t="s">
        <v>997</v>
      </c>
      <c r="E199" s="201" t="s">
        <v>998</v>
      </c>
      <c r="F199" s="201" t="s">
        <v>1330</v>
      </c>
      <c r="G199" s="202">
        <v>46312</v>
      </c>
      <c r="H199" s="201" t="s">
        <v>1000</v>
      </c>
      <c r="I199" s="201" t="s">
        <v>1331</v>
      </c>
      <c r="J199" s="201" t="s">
        <v>1332</v>
      </c>
      <c r="K199" s="201" t="s">
        <v>13</v>
      </c>
      <c r="L199" s="201">
        <v>120</v>
      </c>
      <c r="M199" s="202">
        <v>46368</v>
      </c>
      <c r="N199" s="201">
        <v>120</v>
      </c>
      <c r="O199" s="201">
        <v>120</v>
      </c>
      <c r="P199" s="201">
        <v>0</v>
      </c>
      <c r="Q199" s="201">
        <v>0</v>
      </c>
      <c r="R199" s="201">
        <v>0</v>
      </c>
      <c r="S199" s="201">
        <v>0</v>
      </c>
      <c r="T199" s="201">
        <v>0</v>
      </c>
      <c r="U199" s="201">
        <f t="shared" si="66"/>
        <v>120</v>
      </c>
      <c r="V199" s="201">
        <v>0</v>
      </c>
      <c r="W199" s="201">
        <f t="shared" si="67"/>
        <v>0</v>
      </c>
      <c r="X199" s="201">
        <f t="shared" si="68"/>
        <v>1</v>
      </c>
      <c r="Y199" s="201">
        <f t="shared" si="69"/>
        <v>0</v>
      </c>
      <c r="Z199" s="201">
        <f t="shared" si="70"/>
        <v>0</v>
      </c>
      <c r="AA199" s="201">
        <f t="shared" si="71"/>
        <v>0</v>
      </c>
      <c r="AB199" s="201">
        <f t="shared" si="72"/>
        <v>0</v>
      </c>
      <c r="AC199" s="201">
        <f t="shared" si="73"/>
        <v>0</v>
      </c>
      <c r="AD199" s="201">
        <f t="shared" si="74"/>
        <v>1</v>
      </c>
      <c r="AE199" s="201">
        <f t="shared" si="75"/>
        <v>1</v>
      </c>
      <c r="AF199" s="201">
        <v>1</v>
      </c>
      <c r="AG199" s="201">
        <v>1</v>
      </c>
      <c r="AH199" s="201">
        <v>0</v>
      </c>
      <c r="AI199" s="201">
        <v>0</v>
      </c>
      <c r="AJ199" s="201">
        <v>0</v>
      </c>
      <c r="AK199" s="201">
        <f t="shared" si="76"/>
        <v>0</v>
      </c>
    </row>
    <row r="200" spans="1:37" x14ac:dyDescent="0.25">
      <c r="A200" s="201" t="inlineStr">
        <is>
          <t xml:space="preserve">095E</t>
        </is>
      </c>
      <c r="B200" s="201" t="inlineStr">
        <is>
          <t xml:space="preserve">095E/EVI/092026</t>
        </is>
      </c>
      <c r="C200" s="201" t="inlineStr">
        <is>
          <t xml:space="preserve">125/FJ</t>
        </is>
      </c>
      <c r="D200" s="201" t="inlineStr">
        <is>
          <t xml:space="preserve">EXPORT</t>
        </is>
      </c>
      <c r="E200" s="201" t="inlineStr">
        <is>
          <t xml:space="preserve">Full</t>
        </is>
      </c>
      <c r="F200" s="201" t="inlineStr">
        <is>
          <t xml:space="preserve">SPK.1188E/INS/102026</t>
        </is>
      </c>
      <c r="G200" s="202">
        <v>46316</v>
      </c>
      <c r="H200" s="201" t="inlineStr">
        <is>
          <t xml:space="preserve">In - House Wood Production</t>
        </is>
      </c>
      <c r="I200" s="201" t="inlineStr">
        <is>
          <t xml:space="preserve">BY01N07601SR5</t>
        </is>
      </c>
      <c r="J200" s="201" t="inlineStr">
        <is>
          <t xml:space="preserve">BYE - Manhattan Chair Teak Webbing Seater = Rangka Kayu Jati | IHW =</t>
        </is>
      </c>
      <c r="K200" s="201" t="inlineStr">
        <is>
          <t xml:space="preserve">Teak</t>
        </is>
      </c>
      <c r="L200" s="201">
        <v>10</v>
      </c>
      <c r="M200" s="202">
        <v>46351</v>
      </c>
      <c r="N200" s="201">
        <v>10</v>
      </c>
      <c r="O200" s="201">
        <v>0</v>
      </c>
      <c r="P200" s="201">
        <v>0</v>
      </c>
      <c r="Q200" s="201">
        <v>0</v>
      </c>
      <c r="R200" s="201">
        <v>0</v>
      </c>
      <c r="S200" s="201">
        <v>0</v>
      </c>
      <c r="T200" s="201">
        <v>0</v>
      </c>
      <c r="U200" s="201">
        <f>L200-T200</f>
        <v>10</v>
      </c>
      <c r="V200" s="201">
        <v>0</v>
      </c>
      <c r="W200" s="201">
        <f>T200-V200</f>
        <v>0</v>
      </c>
      <c r="X200" s="201">
        <f>IF(N200-O200&gt;0,1,0)</f>
        <v>1</v>
      </c>
      <c r="Y200" s="201">
        <f>IF(O200-P200&gt;0,1,0)</f>
        <v>0</v>
      </c>
      <c r="Z200" s="201">
        <f>IF(P200-Q200&gt;0,1,0)</f>
        <v>0</v>
      </c>
      <c r="AA200" s="201">
        <f>IF(Q200-R200&gt;0,1,0)</f>
        <v>0</v>
      </c>
      <c r="AB200" s="201">
        <f>IF(R200-S200&gt;0,1,0)</f>
        <v>0</v>
      </c>
      <c r="AC200" s="201">
        <f>IF(S200-T200&gt;0,1,0)</f>
        <v>0</v>
      </c>
      <c r="AD200" s="201">
        <f>IF(L200-V200&gt;0,1,0)</f>
        <v>1</v>
      </c>
      <c r="AE200" s="201">
        <f>IF(L200-T200&gt;0,1,0)</f>
        <v>1</v>
      </c>
      <c r="AF200" s="201">
        <v>1</v>
      </c>
      <c r="AG200" s="201">
        <v>1</v>
      </c>
      <c r="AH200" s="201">
        <v>0</v>
      </c>
      <c r="AI200" s="201">
        <v>0</v>
      </c>
      <c r="AJ200" s="201">
        <v>0</v>
      </c>
      <c r="AK200" s="201">
        <f>IF(T200-V200&gt;0,1,0)</f>
        <v>0</v>
      </c>
    </row>
    <row r="201" spans="1:37" x14ac:dyDescent="0.25">
      <c r="A201" s="201" t="inlineStr">
        <is>
          <t xml:space="preserve">095E</t>
        </is>
      </c>
      <c r="B201" s="201" t="inlineStr">
        <is>
          <t xml:space="preserve">095E/EVI/092026</t>
        </is>
      </c>
      <c r="C201" s="201" t="inlineStr">
        <is>
          <t xml:space="preserve">125/FJ</t>
        </is>
      </c>
      <c r="D201" s="201" t="inlineStr">
        <is>
          <t xml:space="preserve">EXPORT</t>
        </is>
      </c>
      <c r="E201" s="201" t="inlineStr">
        <is>
          <t xml:space="preserve">Full</t>
        </is>
      </c>
      <c r="F201" s="201" t="inlineStr">
        <is>
          <t xml:space="preserve">SPK.1188E/INS/102026</t>
        </is>
      </c>
      <c r="G201" s="202">
        <v>46316</v>
      </c>
      <c r="H201" s="201" t="inlineStr">
        <is>
          <t xml:space="preserve">In - House Wood Production</t>
        </is>
      </c>
      <c r="I201" s="201" t="inlineStr">
        <is>
          <t xml:space="preserve">BY07N01501SR2</t>
        </is>
      </c>
      <c r="J201" s="201" t="inlineStr">
        <is>
          <t xml:space="preserve">BYE - Xavier Dining Table Teak with Marble D120 = Rangka Kayu Jati | IHW =</t>
        </is>
      </c>
      <c r="K201" s="201" t="inlineStr">
        <is>
          <t xml:space="preserve">Teak</t>
        </is>
      </c>
      <c r="L201" s="201">
        <v>10</v>
      </c>
      <c r="M201" s="202">
        <v>46351</v>
      </c>
      <c r="N201" s="201">
        <v>10</v>
      </c>
      <c r="O201" s="201">
        <v>0</v>
      </c>
      <c r="P201" s="201">
        <v>0</v>
      </c>
      <c r="Q201" s="201">
        <v>0</v>
      </c>
      <c r="R201" s="201">
        <v>0</v>
      </c>
      <c r="S201" s="201">
        <v>0</v>
      </c>
      <c r="T201" s="201">
        <v>0</v>
      </c>
      <c r="U201" s="201">
        <f>L201-T201</f>
        <v>10</v>
      </c>
      <c r="V201" s="201">
        <v>0</v>
      </c>
      <c r="W201" s="201">
        <f>T201-V201</f>
        <v>0</v>
      </c>
      <c r="X201" s="201">
        <f>IF(N201-O201&gt;0,1,0)</f>
        <v>1</v>
      </c>
      <c r="Y201" s="201">
        <f>IF(O201-P201&gt;0,1,0)</f>
        <v>0</v>
      </c>
      <c r="Z201" s="201">
        <f>IF(P201-Q201&gt;0,1,0)</f>
        <v>0</v>
      </c>
      <c r="AA201" s="201">
        <f>IF(Q201-R201&gt;0,1,0)</f>
        <v>0</v>
      </c>
      <c r="AB201" s="201">
        <f>IF(R201-S201&gt;0,1,0)</f>
        <v>0</v>
      </c>
      <c r="AC201" s="201">
        <f>IF(S201-T201&gt;0,1,0)</f>
        <v>0</v>
      </c>
      <c r="AD201" s="201">
        <f>IF(L201-V201&gt;0,1,0)</f>
        <v>1</v>
      </c>
      <c r="AE201" s="201">
        <f>IF(L201-T201&gt;0,1,0)</f>
        <v>1</v>
      </c>
      <c r="AF201" s="201">
        <v>1</v>
      </c>
      <c r="AG201" s="201">
        <v>1</v>
      </c>
      <c r="AH201" s="201">
        <v>0</v>
      </c>
      <c r="AI201" s="201">
        <v>0</v>
      </c>
      <c r="AJ201" s="201">
        <v>0</v>
      </c>
      <c r="AK201" s="201">
        <f>IF(T201-V201&gt;0,1,0)</f>
        <v>0</v>
      </c>
    </row>
  </sheetData>
  <pageMargins left="0.75" right="0.75" top="1" bottom="1" header="0.511811023622047" footer="0.511811023622047"/>
  <pageSetup paperSize="9" fitToHeight="0" orientation="landscape"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L8"/>
  <sheetViews>
    <sheetView showGridLines="0" zoomScale="85" zoomScaleNormal="85" workbookViewId="0">
      <selection activeCell="J16" sqref="J16"/>
    </sheetView>
  </sheetViews>
  <sheetFormatPr defaultRowHeight="15" x14ac:dyDescent="0.25"/>
  <cols>
    <col min="1" max="1" width="2.28515625" style="176" customWidth="1"/>
    <col min="2" max="2" width="28.42578125" style="176" bestFit="1" customWidth="1"/>
    <col min="3" max="3" width="9.7109375" style="176" customWidth="1"/>
    <col min="4" max="4" width="10.42578125" style="176" bestFit="1" customWidth="1"/>
    <col min="5" max="5" width="10" style="176" customWidth="1"/>
    <col min="6" max="6" width="6.5703125" style="176" bestFit="1" customWidth="1"/>
    <col min="7" max="7" width="14.42578125" style="176" bestFit="1" customWidth="1"/>
    <col min="8" max="8" width="12.5703125" style="176" bestFit="1" customWidth="1"/>
    <col min="9" max="9" width="6.5703125" style="176" bestFit="1" customWidth="1"/>
    <col min="10" max="10" width="14.42578125" style="176" bestFit="1" customWidth="1"/>
    <col min="11" max="11" width="12.5703125" style="176" bestFit="1" customWidth="1"/>
    <col min="12" max="12" width="4.28515625" style="176" customWidth="1"/>
    <col min="13" max="13" width="6" style="176" customWidth="1"/>
    <col min="14" max="28" width="9.140625" style="176" customWidth="1"/>
    <col min="29" max="16384" width="9.140625" style="176"/>
  </cols>
  <sheetData>
    <row r="2" spans="1:12" ht="18" customHeight="1" x14ac:dyDescent="0.25">
      <c r="A2" s="175"/>
      <c r="B2" s="325" t="s">
        <v>1333</v>
      </c>
      <c r="C2" s="323" t="s">
        <v>53</v>
      </c>
      <c r="D2" s="325" t="s">
        <v>1334</v>
      </c>
      <c r="E2" s="325" t="s">
        <v>1335</v>
      </c>
      <c r="F2" s="322" t="s">
        <v>1336</v>
      </c>
      <c r="G2" s="306"/>
      <c r="H2" s="307"/>
      <c r="I2" s="322" t="s">
        <v>1337</v>
      </c>
      <c r="J2" s="306"/>
      <c r="K2" s="307"/>
      <c r="L2" s="175"/>
    </row>
    <row r="3" spans="1:12" ht="18" customHeight="1" x14ac:dyDescent="0.25">
      <c r="A3" s="175"/>
      <c r="B3" s="324"/>
      <c r="C3" s="324"/>
      <c r="D3" s="324"/>
      <c r="E3" s="324"/>
      <c r="F3" s="326" t="s">
        <v>1338</v>
      </c>
      <c r="G3" s="306"/>
      <c r="H3" s="307"/>
      <c r="I3" s="326" t="s">
        <v>1339</v>
      </c>
      <c r="J3" s="306"/>
      <c r="K3" s="307"/>
      <c r="L3" s="175"/>
    </row>
    <row r="4" spans="1:12" ht="18" customHeight="1" x14ac:dyDescent="0.25">
      <c r="A4" s="175"/>
      <c r="B4" s="308"/>
      <c r="C4" s="308"/>
      <c r="D4" s="308"/>
      <c r="E4" s="308"/>
      <c r="F4" s="178" t="s">
        <v>1340</v>
      </c>
      <c r="G4" s="178" t="s">
        <v>1341</v>
      </c>
      <c r="H4" s="178" t="s">
        <v>1342</v>
      </c>
      <c r="I4" s="178" t="s">
        <v>1340</v>
      </c>
      <c r="J4" s="178" t="s">
        <v>1341</v>
      </c>
      <c r="K4" s="178" t="s">
        <v>1342</v>
      </c>
      <c r="L4" s="175"/>
    </row>
    <row r="5" spans="1:12" ht="16.5" customHeight="1" x14ac:dyDescent="0.25">
      <c r="A5" s="175"/>
      <c r="B5" s="179" t="s">
        <v>13</v>
      </c>
      <c r="C5" s="182">
        <v>8</v>
      </c>
      <c r="D5" s="183">
        <f>SUMIFS(STOK!$L$5:$L$30,STOK!$A$5:$A$30,$B5,STOK!$B$5:$B$30,$C5)</f>
        <v>75</v>
      </c>
      <c r="E5" s="184">
        <f>SUMIFS(STOK!$M$5:$M$30,STOK!$A$5:$A$30,$B5,STOK!$B$5:$B$30,$C5)</f>
        <v>2.3652800000000012</v>
      </c>
      <c r="F5" s="185">
        <v>120</v>
      </c>
      <c r="G5" s="185">
        <f>F5/$C$8</f>
        <v>80</v>
      </c>
      <c r="H5" s="186">
        <f>$D5-G5</f>
        <v>-5</v>
      </c>
      <c r="I5" s="185">
        <v>240</v>
      </c>
      <c r="J5" s="185">
        <f>I5/$C$8</f>
        <v>160</v>
      </c>
      <c r="K5" s="186">
        <f>$D5-J5</f>
        <v>-85</v>
      </c>
      <c r="L5" s="175"/>
    </row>
    <row r="6" spans="1:12" ht="24" customHeight="1" x14ac:dyDescent="0.25">
      <c r="A6" s="175"/>
      <c r="B6" s="179" t="s">
        <v>15</v>
      </c>
      <c r="C6" s="182">
        <v>8</v>
      </c>
      <c r="D6" s="183">
        <f>SUMIFS(STOK!$L$5:$L$30,STOK!$A$5:$A$30,$B6,STOK!$B$5:$B$30,$C6)</f>
        <v>156</v>
      </c>
      <c r="E6" s="184">
        <f>SUMIFS(STOK!$M$5:$M$30,STOK!$A$5:$A$30,$B6,STOK!$B$5:$B$30,$C6)</f>
        <v>3.5428800000000003</v>
      </c>
      <c r="F6" s="185">
        <v>120</v>
      </c>
      <c r="G6" s="185">
        <f>F6/$C$8</f>
        <v>80</v>
      </c>
      <c r="H6" s="186">
        <f>$D6-G6</f>
        <v>76</v>
      </c>
      <c r="I6" s="185">
        <v>240</v>
      </c>
      <c r="J6" s="185">
        <f>I6/$C$8</f>
        <v>160</v>
      </c>
      <c r="K6" s="186">
        <f>$D6-J6</f>
        <v>-4</v>
      </c>
      <c r="L6" s="175"/>
    </row>
    <row r="7" spans="1:12" ht="18.75" customHeight="1" x14ac:dyDescent="0.25">
      <c r="A7" s="175"/>
      <c r="B7" s="177"/>
      <c r="C7" s="177"/>
      <c r="D7" s="177"/>
      <c r="E7" s="177"/>
      <c r="F7" s="177"/>
      <c r="G7" s="177"/>
      <c r="H7" s="177"/>
      <c r="I7" s="177"/>
      <c r="J7" s="177"/>
      <c r="K7" s="177"/>
      <c r="L7" s="175"/>
    </row>
    <row r="8" spans="1:12" ht="19.5" customHeight="1" x14ac:dyDescent="0.25">
      <c r="A8" s="175"/>
      <c r="B8" s="180" t="s">
        <v>1343</v>
      </c>
      <c r="C8" s="181">
        <v>1.5</v>
      </c>
      <c r="D8" s="177"/>
      <c r="E8" s="177"/>
      <c r="F8" s="177"/>
      <c r="G8" s="177"/>
      <c r="H8" s="177"/>
      <c r="I8" s="177"/>
      <c r="J8" s="177"/>
      <c r="K8" s="177"/>
      <c r="L8" s="175"/>
    </row>
  </sheetData>
  <mergeCells count="8">
    <mergeCell ref="I2:K2"/>
    <mergeCell ref="C2:C4"/>
    <mergeCell ref="F2:H2"/>
    <mergeCell ref="B2:B4"/>
    <mergeCell ref="I3:K3"/>
    <mergeCell ref="F3:H3"/>
    <mergeCell ref="D2:D4"/>
    <mergeCell ref="E2:E4"/>
  </mergeCells>
  <conditionalFormatting sqref="H5:H6">
    <cfRule type="cellIs" dxfId="1" priority="1" operator="lessThan">
      <formula>0</formula>
    </cfRule>
  </conditionalFormatting>
  <conditionalFormatting sqref="K5:K6">
    <cfRule type="cellIs" dxfId="0" priority="2"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zoomScale="115" zoomScaleNormal="115" workbookViewId="0">
      <selection activeCell="G17" sqref="G17"/>
    </sheetView>
  </sheetViews>
  <sheetFormatPr defaultRowHeight="15" x14ac:dyDescent="0.25"/>
  <cols>
    <col min="1" max="1" width="14.85546875" bestFit="1" customWidth="1"/>
    <col min="2" max="6" width="6.7109375" bestFit="1" customWidth="1"/>
  </cols>
  <sheetData>
    <row r="1" spans="1:6" ht="17.25" customHeight="1" x14ac:dyDescent="0.3">
      <c r="A1" s="270" t="s">
        <v>1344</v>
      </c>
      <c r="B1" s="220"/>
      <c r="C1" s="220"/>
      <c r="D1" s="220"/>
      <c r="E1" s="220"/>
      <c r="F1" s="220"/>
    </row>
    <row r="2" spans="1:6" x14ac:dyDescent="0.25">
      <c r="A2" s="220"/>
      <c r="B2" s="220"/>
      <c r="C2" s="220"/>
      <c r="D2" s="220"/>
      <c r="E2" s="220"/>
      <c r="F2" s="220"/>
    </row>
    <row r="3" spans="1:6" x14ac:dyDescent="0.25">
      <c r="A3" s="277" t="s">
        <v>379</v>
      </c>
      <c r="B3" s="275" t="s">
        <v>13</v>
      </c>
      <c r="C3" s="276"/>
      <c r="D3" s="282"/>
      <c r="E3" s="279" t="s">
        <v>15</v>
      </c>
      <c r="F3" s="275"/>
    </row>
    <row r="4" spans="1:6" x14ac:dyDescent="0.25">
      <c r="A4" s="277"/>
      <c r="B4" s="271">
        <v>6</v>
      </c>
      <c r="C4" s="272">
        <v>7</v>
      </c>
      <c r="D4" s="283">
        <v>8</v>
      </c>
      <c r="E4" s="280">
        <v>7.5</v>
      </c>
      <c r="F4" s="271">
        <v>8</v>
      </c>
    </row>
    <row r="5" spans="1:6" x14ac:dyDescent="0.25">
      <c r="A5" s="278" t="s">
        <v>787</v>
      </c>
      <c r="B5" s="273" t="s">
        <v>1345</v>
      </c>
      <c r="C5" s="274" t="s">
        <v>1345</v>
      </c>
      <c r="D5" s="284"/>
      <c r="E5" s="281"/>
      <c r="F5" s="273"/>
    </row>
    <row r="6" spans="1:6" x14ac:dyDescent="0.25">
      <c r="A6" s="278" t="s">
        <v>785</v>
      </c>
      <c r="B6" s="273" t="s">
        <v>1345</v>
      </c>
      <c r="C6" s="274"/>
      <c r="D6" s="284"/>
      <c r="E6" s="281"/>
      <c r="F6" s="273"/>
    </row>
    <row r="7" spans="1:6" x14ac:dyDescent="0.25">
      <c r="A7" s="278" t="s">
        <v>1346</v>
      </c>
      <c r="B7" s="273"/>
      <c r="C7" s="274" t="s">
        <v>1345</v>
      </c>
      <c r="D7" s="284"/>
      <c r="E7" s="281"/>
      <c r="F7" s="273"/>
    </row>
    <row r="8" spans="1:6" x14ac:dyDescent="0.25">
      <c r="A8" s="278" t="s">
        <v>789</v>
      </c>
      <c r="B8" s="273"/>
      <c r="C8" s="274" t="s">
        <v>1345</v>
      </c>
      <c r="D8" s="284" t="s">
        <v>1345</v>
      </c>
      <c r="E8" s="281" t="s">
        <v>1345</v>
      </c>
      <c r="F8" s="273" t="s">
        <v>1345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SUMMARY</vt:lpstr>
      <vt:lpstr>STOK</vt:lpstr>
      <vt:lpstr>REKON</vt:lpstr>
      <vt:lpstr>IN</vt:lpstr>
      <vt:lpstr>INCOMING</vt:lpstr>
      <vt:lpstr>POTENTIAL IN</vt:lpstr>
      <vt:lpstr>OUT</vt:lpstr>
      <vt:lpstr>OUT Since Sep</vt:lpstr>
      <vt:lpstr>SAMPLE</vt:lpstr>
      <vt:lpstr>OPNAME LOG</vt:lpstr>
      <vt:lpstr>LAPORAN OPERATION</vt:lpstr>
      <vt:lpstr>REALDATA</vt:lpstr>
      <vt:lpstr>Sch</vt:lpstr>
      <vt:lpstr>Back Rest</vt:lpstr>
      <vt:lpstr>STOK!Print_Area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Hariyadi Hariyadi</cp:lastModifiedBy>
  <cp:revision>0</cp:revision>
  <cp:lastPrinted>2026-10-12T08:34:45Z</cp:lastPrinted>
  <dcterms:created xsi:type="dcterms:W3CDTF">2026-09-26T11:53:17Z</dcterms:created>
  <dcterms:modified xsi:type="dcterms:W3CDTF">2026-10-26T03:46:27Z</dcterms:modified>
  <dc:language>en-US</dc:language>
</cp:coreProperties>
</file>